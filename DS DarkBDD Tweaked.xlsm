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hicham_garroum\Desktop\VBAfiles\VBA_FILES\SurveyotMate\PARTAGE\"/>
    </mc:Choice>
  </mc:AlternateContent>
  <xr:revisionPtr revIDLastSave="0" documentId="13_ncr:1_{16BE81D1-F8A1-4B74-8EB3-170E6FC6C661}" xr6:coauthVersionLast="45" xr6:coauthVersionMax="45" xr10:uidLastSave="{00000000-0000-0000-0000-000000000000}"/>
  <bookViews>
    <workbookView showHorizontalScroll="0" showVerticalScroll="0" showSheetTabs="0" xWindow="-110" yWindow="-110" windowWidth="19420" windowHeight="11020" xr2:uid="{00000000-000D-0000-FFFF-FFFF00000000}"/>
  </bookViews>
  <sheets>
    <sheet name="Data" sheetId="9" r:id="rId1"/>
    <sheet name="DDB" sheetId="13" state="veryHidden" r:id="rId2"/>
    <sheet name="DS_REPORT" sheetId="10" state="veryHidden" r:id="rId3"/>
    <sheet name="Details" sheetId="11" state="veryHidden" r:id="rId4"/>
    <sheet name="Deductibles" sheetId="12" state="veryHidden" r:id="rId5"/>
  </sheets>
  <externalReferences>
    <externalReference r:id="rId6"/>
    <externalReference r:id="rId7"/>
  </externalReferences>
  <definedNames>
    <definedName name="AVANT">#REF!</definedName>
    <definedName name="LCF">#REF!</definedName>
    <definedName name="milieu">#REF!</definedName>
    <definedName name="POWER_USER_EXCEL_CHART_E3AE1115_62C4_4033_A917_3BDDBB836D5F">#REF!</definedName>
    <definedName name="purpose">#REF!</definedName>
    <definedName name="TabFinalBallast">Data!$L$93:$Q$123</definedName>
    <definedName name="TabInitialBallast">Data!$B$93:$I$123</definedName>
    <definedName name="TRIM">#REF!</definedName>
    <definedName name="Vessels">DDB!$B$2:$B$108</definedName>
    <definedName name="_xlnm.Print_Area" localSheetId="4">Deductibles!$A$1:$W$71</definedName>
    <definedName name="_xlnm.Print_Area" localSheetId="3">Details!$A$1:$Q$61</definedName>
    <definedName name="_xlnm.Print_Area" localSheetId="2">DS_REPORT!$A$1:$Y$71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3" i="13" l="1" a="1"/>
  <c r="AP3" i="13" s="1"/>
  <c r="A66" i="13" l="1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3" i="13"/>
  <c r="A4" i="13"/>
  <c r="A5" i="13"/>
  <c r="A6" i="13"/>
  <c r="A7" i="13"/>
  <c r="A8" i="13"/>
  <c r="A2" i="13"/>
  <c r="H86" i="9" l="1"/>
  <c r="R95" i="9" l="1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94" i="9"/>
  <c r="J94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95" i="9"/>
  <c r="J96" i="9"/>
  <c r="J97" i="9"/>
  <c r="J98" i="9"/>
  <c r="J99" i="9"/>
  <c r="J100" i="9"/>
  <c r="J101" i="9"/>
  <c r="J102" i="9"/>
  <c r="O83" i="9" l="1"/>
  <c r="I83" i="9"/>
  <c r="Z87" i="9" l="1"/>
  <c r="L59" i="12" l="1"/>
  <c r="L58" i="12"/>
  <c r="L57" i="12"/>
  <c r="I59" i="12"/>
  <c r="I58" i="12"/>
  <c r="I57" i="12"/>
  <c r="Q53" i="12"/>
  <c r="Q52" i="12"/>
  <c r="Q51" i="12"/>
  <c r="Q50" i="12"/>
  <c r="O53" i="12"/>
  <c r="O52" i="12"/>
  <c r="O51" i="12"/>
  <c r="O50" i="12"/>
  <c r="F53" i="12"/>
  <c r="F52" i="12"/>
  <c r="F51" i="12"/>
  <c r="F50" i="12"/>
  <c r="D53" i="12"/>
  <c r="D52" i="12"/>
  <c r="D51" i="12"/>
  <c r="D50" i="12"/>
  <c r="A53" i="12"/>
  <c r="A52" i="12"/>
  <c r="A51" i="12"/>
  <c r="A50" i="12"/>
  <c r="S17" i="12" l="1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16" i="12"/>
  <c r="Q17" i="12"/>
  <c r="Q18" i="12"/>
  <c r="Q19" i="12"/>
  <c r="Q20" i="12"/>
  <c r="Q21" i="12"/>
  <c r="Q22" i="12"/>
  <c r="Q23" i="12"/>
  <c r="Q24" i="12"/>
  <c r="Q25" i="12"/>
  <c r="Q26" i="12"/>
  <c r="U26" i="12" s="1"/>
  <c r="Q27" i="12"/>
  <c r="U27" i="12" s="1"/>
  <c r="Q28" i="12"/>
  <c r="U28" i="12" s="1"/>
  <c r="Q29" i="12"/>
  <c r="U29" i="12" s="1"/>
  <c r="Q30" i="12"/>
  <c r="U30" i="12" s="1"/>
  <c r="Q31" i="12"/>
  <c r="U31" i="12" s="1"/>
  <c r="Q32" i="12"/>
  <c r="U32" i="12" s="1"/>
  <c r="Q33" i="12"/>
  <c r="U33" i="12" s="1"/>
  <c r="Q34" i="12"/>
  <c r="U34" i="12" s="1"/>
  <c r="Q35" i="12"/>
  <c r="U35" i="12" s="1"/>
  <c r="Q36" i="12"/>
  <c r="U36" i="12" s="1"/>
  <c r="Q37" i="12"/>
  <c r="U37" i="12" s="1"/>
  <c r="Q38" i="12"/>
  <c r="U38" i="12" s="1"/>
  <c r="Q39" i="12"/>
  <c r="U39" i="12" s="1"/>
  <c r="Q40" i="12"/>
  <c r="U40" i="12" s="1"/>
  <c r="Q41" i="12"/>
  <c r="U41" i="12" s="1"/>
  <c r="Q42" i="12"/>
  <c r="U42" i="12" s="1"/>
  <c r="Q43" i="12"/>
  <c r="U43" i="12" s="1"/>
  <c r="Q44" i="12"/>
  <c r="U44" i="12" s="1"/>
  <c r="Q45" i="12"/>
  <c r="U45" i="12" s="1"/>
  <c r="Q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16" i="12"/>
  <c r="A17" i="12"/>
  <c r="A18" i="12"/>
  <c r="A19" i="12"/>
  <c r="A20" i="12"/>
  <c r="A21" i="12"/>
  <c r="A22" i="12"/>
  <c r="A23" i="12"/>
  <c r="A24" i="12"/>
  <c r="L24" i="12" s="1"/>
  <c r="A25" i="12"/>
  <c r="L25" i="12" s="1"/>
  <c r="A26" i="12"/>
  <c r="L26" i="12" s="1"/>
  <c r="A27" i="12"/>
  <c r="L27" i="12" s="1"/>
  <c r="A28" i="12"/>
  <c r="L28" i="12" s="1"/>
  <c r="A29" i="12"/>
  <c r="L29" i="12" s="1"/>
  <c r="A30" i="12"/>
  <c r="L30" i="12" s="1"/>
  <c r="A31" i="12"/>
  <c r="L31" i="12" s="1"/>
  <c r="A32" i="12"/>
  <c r="L32" i="12" s="1"/>
  <c r="A33" i="12"/>
  <c r="L33" i="12" s="1"/>
  <c r="A34" i="12"/>
  <c r="L34" i="12" s="1"/>
  <c r="A35" i="12"/>
  <c r="L35" i="12" s="1"/>
  <c r="A36" i="12"/>
  <c r="L36" i="12" s="1"/>
  <c r="A37" i="12"/>
  <c r="L37" i="12" s="1"/>
  <c r="A38" i="12"/>
  <c r="L38" i="12" s="1"/>
  <c r="A39" i="12"/>
  <c r="L39" i="12" s="1"/>
  <c r="A40" i="12"/>
  <c r="L40" i="12" s="1"/>
  <c r="A41" i="12"/>
  <c r="L41" i="12" s="1"/>
  <c r="A42" i="12"/>
  <c r="L42" i="12" s="1"/>
  <c r="A43" i="12"/>
  <c r="L43" i="12" s="1"/>
  <c r="A44" i="12"/>
  <c r="L44" i="12" s="1"/>
  <c r="A45" i="12"/>
  <c r="L45" i="12" s="1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H16" i="12"/>
  <c r="F16" i="12"/>
  <c r="D22" i="12"/>
  <c r="D21" i="12"/>
  <c r="D20" i="12"/>
  <c r="D19" i="12"/>
  <c r="D18" i="12"/>
  <c r="D17" i="12"/>
  <c r="D16" i="12"/>
  <c r="J20" i="10"/>
  <c r="U25" i="12" l="1"/>
  <c r="U24" i="12"/>
  <c r="U23" i="12"/>
  <c r="U20" i="12"/>
  <c r="U19" i="12"/>
  <c r="U22" i="12"/>
  <c r="U21" i="12"/>
  <c r="U18" i="12"/>
  <c r="U17" i="12"/>
  <c r="T6" i="12" l="1"/>
  <c r="O8" i="12"/>
  <c r="O7" i="12"/>
  <c r="O6" i="12"/>
  <c r="O5" i="12"/>
  <c r="O4" i="12"/>
  <c r="V12" i="10"/>
  <c r="V13" i="10"/>
  <c r="O16" i="11"/>
  <c r="O15" i="11"/>
  <c r="O14" i="11"/>
  <c r="K3" i="11"/>
  <c r="R7" i="10"/>
  <c r="O49" i="11"/>
  <c r="M45" i="11"/>
  <c r="M44" i="11"/>
  <c r="M38" i="11"/>
  <c r="M33" i="11"/>
  <c r="M32" i="11"/>
  <c r="M30" i="11"/>
  <c r="M17" i="11"/>
  <c r="M16" i="11"/>
  <c r="M15" i="11"/>
  <c r="N138" i="9" l="1"/>
  <c r="M43" i="11" s="1"/>
  <c r="H138" i="9"/>
  <c r="I45" i="11" l="1"/>
  <c r="I44" i="11"/>
  <c r="I38" i="11" l="1"/>
  <c r="I33" i="11"/>
  <c r="I32" i="11"/>
  <c r="I30" i="11"/>
  <c r="K14" i="11" l="1"/>
  <c r="K17" i="11"/>
  <c r="K16" i="11"/>
  <c r="K15" i="11"/>
  <c r="I17" i="11"/>
  <c r="I16" i="11"/>
  <c r="I15" i="11"/>
  <c r="K7" i="11"/>
  <c r="K6" i="11"/>
  <c r="O5" i="11"/>
  <c r="K5" i="11"/>
  <c r="M5" i="11" s="1"/>
  <c r="K4" i="11"/>
  <c r="G21" i="10"/>
  <c r="I51" i="12" l="1"/>
  <c r="I53" i="12"/>
  <c r="J17" i="12" l="1"/>
  <c r="J18" i="12"/>
  <c r="U16" i="12"/>
  <c r="J18" i="10"/>
  <c r="W21" i="10"/>
  <c r="W20" i="10"/>
  <c r="W18" i="10"/>
  <c r="W19" i="10"/>
  <c r="J21" i="10"/>
  <c r="J19" i="10"/>
  <c r="L46" i="10"/>
  <c r="S46" i="10"/>
  <c r="T21" i="10" l="1"/>
  <c r="V15" i="10"/>
  <c r="V14" i="10"/>
  <c r="N12" i="10" l="1"/>
  <c r="N15" i="10"/>
  <c r="N14" i="10"/>
  <c r="N13" i="10"/>
  <c r="F15" i="10"/>
  <c r="F14" i="10"/>
  <c r="F13" i="10"/>
  <c r="F12" i="10"/>
  <c r="R8" i="10"/>
  <c r="V6" i="10"/>
  <c r="R6" i="10"/>
  <c r="R5" i="10"/>
  <c r="R4" i="10"/>
  <c r="G20" i="10"/>
  <c r="G19" i="10"/>
  <c r="G18" i="10"/>
  <c r="T20" i="10" l="1"/>
  <c r="T19" i="10"/>
  <c r="T18" i="10"/>
  <c r="H85" i="9"/>
  <c r="T53" i="12" l="1"/>
  <c r="L53" i="12"/>
  <c r="T52" i="12"/>
  <c r="I52" i="12"/>
  <c r="L52" i="12"/>
  <c r="L51" i="12"/>
  <c r="L50" i="12"/>
  <c r="L48" i="12"/>
  <c r="T50" i="12" s="1"/>
  <c r="J45" i="12"/>
  <c r="J44" i="12"/>
  <c r="J43" i="12"/>
  <c r="J42" i="12"/>
  <c r="J41" i="12"/>
  <c r="J40" i="12"/>
  <c r="J39" i="12"/>
  <c r="J38" i="12"/>
  <c r="J37" i="12"/>
  <c r="J36" i="12"/>
  <c r="J35" i="12"/>
  <c r="L23" i="12"/>
  <c r="L22" i="12"/>
  <c r="L21" i="12"/>
  <c r="L20" i="12"/>
  <c r="L19" i="12"/>
  <c r="L18" i="12"/>
  <c r="L17" i="12"/>
  <c r="R6" i="12"/>
  <c r="C45" i="11"/>
  <c r="H7" i="11"/>
  <c r="H6" i="11"/>
  <c r="H4" i="11"/>
  <c r="H3" i="11"/>
  <c r="A60" i="10"/>
  <c r="A59" i="10"/>
  <c r="A58" i="10"/>
  <c r="T6" i="10"/>
  <c r="S186" i="9"/>
  <c r="N161" i="9"/>
  <c r="T36" i="10" s="1"/>
  <c r="H161" i="9"/>
  <c r="M36" i="10" s="1"/>
  <c r="N160" i="9"/>
  <c r="T35" i="10" s="1"/>
  <c r="H160" i="9"/>
  <c r="M35" i="10" s="1"/>
  <c r="N155" i="9"/>
  <c r="T31" i="10" s="1"/>
  <c r="H155" i="9"/>
  <c r="M31" i="10" s="1"/>
  <c r="N154" i="9"/>
  <c r="T30" i="10" s="1"/>
  <c r="H154" i="9"/>
  <c r="M30" i="10" s="1"/>
  <c r="N149" i="9"/>
  <c r="T26" i="10" s="1"/>
  <c r="H149" i="9"/>
  <c r="M26" i="10" s="1"/>
  <c r="N148" i="9"/>
  <c r="T25" i="10" s="1"/>
  <c r="H148" i="9"/>
  <c r="M25" i="10" s="1"/>
  <c r="I43" i="11"/>
  <c r="P131" i="9"/>
  <c r="R131" i="9" s="1"/>
  <c r="J131" i="9"/>
  <c r="H131" i="9"/>
  <c r="R130" i="9"/>
  <c r="P130" i="9"/>
  <c r="J130" i="9"/>
  <c r="H130" i="9"/>
  <c r="P129" i="9"/>
  <c r="R129" i="9" s="1"/>
  <c r="H129" i="9"/>
  <c r="J129" i="9" s="1"/>
  <c r="P128" i="9"/>
  <c r="R128" i="9" s="1"/>
  <c r="H128" i="9"/>
  <c r="J128" i="9" s="1"/>
  <c r="N124" i="9"/>
  <c r="F124" i="9"/>
  <c r="AB87" i="9"/>
  <c r="H87" i="9"/>
  <c r="N87" i="9" s="1"/>
  <c r="N86" i="9"/>
  <c r="N85" i="9" s="1"/>
  <c r="Z84" i="9"/>
  <c r="M34" i="11"/>
  <c r="I34" i="11"/>
  <c r="B76" i="9"/>
  <c r="Z75" i="9"/>
  <c r="Z77" i="9" s="1"/>
  <c r="Z78" i="9" s="1"/>
  <c r="AB78" i="9" s="1"/>
  <c r="B75" i="9"/>
  <c r="B74" i="9"/>
  <c r="B71" i="9"/>
  <c r="B70" i="9"/>
  <c r="B69" i="9"/>
  <c r="J124" i="9" l="1"/>
  <c r="I41" i="11" s="1"/>
  <c r="R124" i="9"/>
  <c r="M41" i="11" s="1"/>
  <c r="J132" i="9"/>
  <c r="I42" i="11" s="1"/>
  <c r="R132" i="9"/>
  <c r="M42" i="11" s="1"/>
  <c r="H156" i="9"/>
  <c r="M32" i="10" s="1"/>
  <c r="H150" i="9"/>
  <c r="M27" i="10" s="1"/>
  <c r="N162" i="9"/>
  <c r="T37" i="10" s="1"/>
  <c r="H162" i="9"/>
  <c r="M37" i="10" s="1"/>
  <c r="N156" i="9"/>
  <c r="T32" i="10" s="1"/>
  <c r="N150" i="9"/>
  <c r="T27" i="10" s="1"/>
  <c r="J22" i="12"/>
  <c r="J30" i="12"/>
  <c r="I60" i="12"/>
  <c r="T51" i="12"/>
  <c r="L60" i="12"/>
  <c r="J23" i="12"/>
  <c r="J20" i="12"/>
  <c r="J28" i="12"/>
  <c r="I50" i="12"/>
  <c r="J19" i="12"/>
  <c r="J25" i="12"/>
  <c r="J31" i="12"/>
  <c r="J21" i="12"/>
  <c r="J29" i="12"/>
  <c r="J16" i="12"/>
  <c r="J24" i="12"/>
  <c r="J32" i="12"/>
  <c r="Q46" i="12"/>
  <c r="J26" i="12"/>
  <c r="J27" i="12"/>
  <c r="J34" i="12"/>
  <c r="J33" i="12"/>
  <c r="F46" i="12"/>
  <c r="N144" i="9" l="1"/>
  <c r="H144" i="9"/>
  <c r="I54" i="12"/>
  <c r="T54" i="12"/>
  <c r="Q88" i="9"/>
  <c r="H88" i="9"/>
  <c r="N88" i="9"/>
  <c r="M14" i="11" s="1"/>
  <c r="U46" i="12"/>
  <c r="J46" i="12"/>
  <c r="S48" i="10" l="1"/>
  <c r="M46" i="11"/>
  <c r="H151" i="9"/>
  <c r="I18" i="11" s="1"/>
  <c r="I14" i="11"/>
  <c r="L48" i="10"/>
  <c r="I46" i="11"/>
  <c r="N163" i="9"/>
  <c r="H163" i="9"/>
  <c r="I19" i="11" s="1"/>
  <c r="H157" i="9"/>
  <c r="I20" i="11" s="1"/>
  <c r="N151" i="9"/>
  <c r="M18" i="11" s="1"/>
  <c r="N157" i="9"/>
  <c r="M20" i="11" s="1"/>
  <c r="N164" i="9" l="1"/>
  <c r="M19" i="11"/>
  <c r="H152" i="9"/>
  <c r="I21" i="11" s="1"/>
  <c r="M28" i="10"/>
  <c r="T38" i="10"/>
  <c r="N158" i="9"/>
  <c r="T33" i="10"/>
  <c r="N152" i="9"/>
  <c r="T28" i="10"/>
  <c r="H164" i="9"/>
  <c r="M38" i="10"/>
  <c r="H158" i="9"/>
  <c r="M33" i="10"/>
  <c r="I60" i="9" l="1"/>
  <c r="F65" i="9" s="1"/>
  <c r="F64" i="9" s="1"/>
  <c r="F66" i="9" s="1"/>
  <c r="T29" i="10"/>
  <c r="M21" i="11"/>
  <c r="T34" i="10"/>
  <c r="M23" i="11"/>
  <c r="T39" i="10"/>
  <c r="M22" i="11"/>
  <c r="M29" i="10"/>
  <c r="M39" i="10"/>
  <c r="I22" i="11"/>
  <c r="M34" i="10"/>
  <c r="I23" i="11"/>
  <c r="Q89" i="9"/>
  <c r="O24" i="11" s="1"/>
  <c r="N166" i="9"/>
  <c r="T40" i="10" s="1"/>
  <c r="H166" i="9"/>
  <c r="M40" i="10" s="1"/>
  <c r="K89" i="9"/>
  <c r="K24" i="11" s="1"/>
  <c r="H89" i="9"/>
  <c r="Y94" i="9" s="1"/>
  <c r="N89" i="9"/>
  <c r="AG99" i="9" l="1"/>
  <c r="AG98" i="9"/>
  <c r="AG97" i="9"/>
  <c r="M24" i="11"/>
  <c r="Y105" i="9"/>
  <c r="H174" i="9"/>
  <c r="I36" i="11" s="1"/>
  <c r="I24" i="11"/>
  <c r="N167" i="9"/>
  <c r="N168" i="9" s="1"/>
  <c r="H167" i="9"/>
  <c r="H168" i="9" s="1"/>
  <c r="H201" i="9"/>
  <c r="F75" i="9"/>
  <c r="F70" i="9"/>
  <c r="H65" i="9" l="1"/>
  <c r="H170" i="9" s="1"/>
  <c r="L43" i="10" s="1"/>
  <c r="F69" i="9"/>
  <c r="F74" i="9"/>
  <c r="F82" i="9"/>
  <c r="F80" i="9"/>
  <c r="F71" i="9"/>
  <c r="F76" i="9"/>
  <c r="AG110" i="9"/>
  <c r="AG109" i="9"/>
  <c r="AG108" i="9"/>
  <c r="AB101" i="9"/>
  <c r="M25" i="11"/>
  <c r="O60" i="9"/>
  <c r="H203" i="9"/>
  <c r="I27" i="11" s="1"/>
  <c r="H202" i="9"/>
  <c r="I26" i="11" s="1"/>
  <c r="M42" i="10"/>
  <c r="I25" i="11"/>
  <c r="T41" i="10"/>
  <c r="M41" i="10"/>
  <c r="T42" i="10"/>
  <c r="M174" i="9"/>
  <c r="M36" i="11" s="1"/>
  <c r="I75" i="9" l="1"/>
  <c r="I29" i="11" s="1"/>
  <c r="I28" i="11"/>
  <c r="I70" i="9"/>
  <c r="I31" i="11" s="1"/>
  <c r="AB112" i="9"/>
  <c r="L65" i="9"/>
  <c r="L64" i="9" s="1"/>
  <c r="L66" i="9" s="1"/>
  <c r="L201" i="9"/>
  <c r="H173" i="9" l="1"/>
  <c r="H175" i="9" s="1"/>
  <c r="L44" i="10" s="1"/>
  <c r="L45" i="10" s="1"/>
  <c r="L47" i="10" s="1"/>
  <c r="L49" i="10" s="1"/>
  <c r="L203" i="9"/>
  <c r="M27" i="11" s="1"/>
  <c r="L202" i="9"/>
  <c r="M26" i="11" s="1"/>
  <c r="L70" i="9"/>
  <c r="L75" i="9"/>
  <c r="N65" i="9" l="1"/>
  <c r="M170" i="9" s="1"/>
  <c r="M39" i="11" s="1"/>
  <c r="L74" i="9"/>
  <c r="L69" i="9"/>
  <c r="L82" i="9"/>
  <c r="L80" i="9"/>
  <c r="L71" i="9"/>
  <c r="L76" i="9"/>
  <c r="H177" i="9"/>
  <c r="H181" i="9" s="1"/>
  <c r="I35" i="11"/>
  <c r="I37" i="11" s="1"/>
  <c r="O75" i="9" l="1"/>
  <c r="M29" i="11" s="1"/>
  <c r="S43" i="10"/>
  <c r="M28" i="11"/>
  <c r="I39" i="11"/>
  <c r="O70" i="9"/>
  <c r="H184" i="9"/>
  <c r="I47" i="11" s="1"/>
  <c r="M173" i="9" l="1"/>
  <c r="M175" i="9" s="1"/>
  <c r="S44" i="10" s="1"/>
  <c r="S45" i="10" s="1"/>
  <c r="T47" i="10" s="1"/>
  <c r="S49" i="10" s="1"/>
  <c r="O51" i="10" s="1"/>
  <c r="S51" i="10" s="1"/>
  <c r="M31" i="11"/>
  <c r="M177" i="9" l="1"/>
  <c r="M181" i="9" s="1"/>
  <c r="M184" i="9" s="1"/>
  <c r="J186" i="9" s="1"/>
  <c r="M35" i="11"/>
  <c r="M37" i="11"/>
  <c r="C51" i="10"/>
  <c r="M47" i="11" l="1"/>
  <c r="H49" i="11" s="1"/>
  <c r="A49" i="11" s="1"/>
  <c r="S187" i="9"/>
  <c r="O50" i="11" s="1"/>
  <c r="B186" i="9"/>
  <c r="E197" i="9"/>
  <c r="K49" i="11" l="1"/>
  <c r="A16" i="12"/>
  <c r="L16" i="12" s="1"/>
  <c r="A9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<sst xmlns="http://schemas.openxmlformats.org/spreadsheetml/2006/main" count="1485" uniqueCount="530">
  <si>
    <t>Net Displacement</t>
  </si>
  <si>
    <t>LCF</t>
  </si>
  <si>
    <t>INITIAL</t>
  </si>
  <si>
    <t>FINAL</t>
  </si>
  <si>
    <t>TPC</t>
  </si>
  <si>
    <t>A</t>
  </si>
  <si>
    <t>FORE Port :</t>
  </si>
  <si>
    <t>FORE Stbd :</t>
  </si>
  <si>
    <t>AFT Port :</t>
  </si>
  <si>
    <t>AFT Stbd :</t>
  </si>
  <si>
    <t>MID Port :</t>
  </si>
  <si>
    <t>MID Stbd :</t>
  </si>
  <si>
    <t xml:space="preserve">Quarter Mean :  </t>
  </si>
  <si>
    <t>Tank</t>
  </si>
  <si>
    <t>Sounding</t>
  </si>
  <si>
    <t>Volume</t>
  </si>
  <si>
    <t>Densité</t>
  </si>
  <si>
    <t>Weight</t>
  </si>
  <si>
    <t xml:space="preserve">Fresh water </t>
  </si>
  <si>
    <t>Density  :</t>
  </si>
  <si>
    <t xml:space="preserve">Fuel Oil </t>
  </si>
  <si>
    <t xml:space="preserve">Diesel Oil </t>
  </si>
  <si>
    <t xml:space="preserve">Lub. Oil </t>
  </si>
  <si>
    <t>Total Bunkers (MT)</t>
  </si>
  <si>
    <t>Slops</t>
  </si>
  <si>
    <t>Others:</t>
  </si>
  <si>
    <t>Light Ship</t>
  </si>
  <si>
    <t>Draft Inf</t>
  </si>
  <si>
    <t>Draft Sup</t>
  </si>
  <si>
    <t>Flag</t>
  </si>
  <si>
    <t>Vessel arrived on</t>
  </si>
  <si>
    <t>at</t>
  </si>
  <si>
    <t>Port of Registry</t>
  </si>
  <si>
    <t>Vessel berthed on</t>
  </si>
  <si>
    <t xml:space="preserve">Vessel </t>
  </si>
  <si>
    <t>Initial Survey commenced on</t>
  </si>
  <si>
    <t>Cargo</t>
  </si>
  <si>
    <t>Initial Survey completed on</t>
  </si>
  <si>
    <t>Port</t>
  </si>
  <si>
    <t>Port of Loading</t>
  </si>
  <si>
    <t>Port of Discharge</t>
  </si>
  <si>
    <t>Final Survey commenced on</t>
  </si>
  <si>
    <t xml:space="preserve">B/L Weight </t>
  </si>
  <si>
    <t>MT</t>
  </si>
  <si>
    <t>Final Survey completed on</t>
  </si>
  <si>
    <t xml:space="preserve">B/L Date </t>
  </si>
  <si>
    <t>Number of Holds</t>
  </si>
  <si>
    <t>Number of Ballast Tks</t>
  </si>
  <si>
    <t>Number of F. water Tks</t>
  </si>
  <si>
    <t xml:space="preserve">Distance FORE (cm)  </t>
  </si>
  <si>
    <t xml:space="preserve">Distance AFT (cm)  </t>
  </si>
  <si>
    <t xml:space="preserve">Distance MID (cm)  </t>
  </si>
  <si>
    <t>Drafts Lues en cm</t>
  </si>
  <si>
    <t>DISPLACEMENT</t>
  </si>
  <si>
    <t>Densité (Table) :</t>
  </si>
  <si>
    <t>Quarter mean</t>
  </si>
  <si>
    <t>LCF (en cm)</t>
  </si>
  <si>
    <t>En cas des tables qui présentent le LCF from aft,</t>
  </si>
  <si>
    <t>utiliser ce tableau pour calculer le LCF from MID:</t>
  </si>
  <si>
    <t>LBP (m)</t>
  </si>
  <si>
    <t>LCF fm AFT (m)</t>
  </si>
  <si>
    <t>LBP/2 (m)</t>
  </si>
  <si>
    <t>LCF fm MID (cm)</t>
  </si>
  <si>
    <t>MTC</t>
  </si>
  <si>
    <t>Puis reporter le résultat à gauche</t>
  </si>
  <si>
    <t>MTC + 50 cm</t>
  </si>
  <si>
    <t>MTC - 50 cm</t>
  </si>
  <si>
    <t>En cas des tables présentants Vorn et Hiensen,</t>
  </si>
  <si>
    <t>DMZ</t>
  </si>
  <si>
    <t>utiliser ce tableau pour calculer le LCF:</t>
  </si>
  <si>
    <t>LBM (cm)</t>
  </si>
  <si>
    <t>Hiensen</t>
  </si>
  <si>
    <t>LBP (cm)</t>
  </si>
  <si>
    <t>Vorn</t>
  </si>
  <si>
    <t>Light Ship (MT)</t>
  </si>
  <si>
    <t>LCF (cm)</t>
  </si>
  <si>
    <t>Trim Observed</t>
  </si>
  <si>
    <t>True Trim</t>
  </si>
  <si>
    <t>Total Deductibles</t>
  </si>
  <si>
    <t>Port :</t>
  </si>
  <si>
    <t>Starboard :</t>
  </si>
  <si>
    <t>Mean :</t>
  </si>
  <si>
    <t>Stem Correction :</t>
  </si>
  <si>
    <t>Corrected Fore :</t>
  </si>
  <si>
    <t>Stern Correction :</t>
  </si>
  <si>
    <t>Corrected Aft :</t>
  </si>
  <si>
    <t>M     I      D</t>
  </si>
  <si>
    <t>Mid Correction :</t>
  </si>
  <si>
    <t>Corrected Mid :</t>
  </si>
  <si>
    <t xml:space="preserve">Mean Fore/Aft  </t>
  </si>
  <si>
    <t xml:space="preserve">Mean of Mean  </t>
  </si>
  <si>
    <t xml:space="preserve">Quarter Mean  </t>
  </si>
  <si>
    <t>TRIM CORRECTION</t>
  </si>
  <si>
    <t>First Trim Correction</t>
  </si>
  <si>
    <t>Second Trim Correction</t>
  </si>
  <si>
    <t>Total Trim Correction</t>
  </si>
  <si>
    <t>Disp corr / Trim correct</t>
  </si>
  <si>
    <t xml:space="preserve">Density eau Bassin  </t>
  </si>
  <si>
    <t>Displ corr for density</t>
  </si>
  <si>
    <t xml:space="preserve">Declared Constante  </t>
  </si>
  <si>
    <t xml:space="preserve">Actual Constante  </t>
  </si>
  <si>
    <t>Remarks :</t>
  </si>
  <si>
    <t>Infos:</t>
  </si>
  <si>
    <t>Séquence:</t>
  </si>
  <si>
    <t>Sagging</t>
  </si>
  <si>
    <t>Hogging</t>
  </si>
  <si>
    <t>Quarter Mean (en cm)</t>
  </si>
  <si>
    <t>Deformation Coque (en cm)</t>
  </si>
  <si>
    <t>En général:</t>
  </si>
  <si>
    <t>Type</t>
  </si>
  <si>
    <t>- Coasters :</t>
  </si>
  <si>
    <t>(entre 0 et 8cm)</t>
  </si>
  <si>
    <t>- Sea vessels</t>
  </si>
  <si>
    <t>(entre 0 et 18cm)</t>
  </si>
  <si>
    <t>B/L Weight &amp; Date</t>
  </si>
  <si>
    <t>DRAFT SURVEY REPORT</t>
  </si>
  <si>
    <t>:</t>
  </si>
  <si>
    <t>L.B.P.</t>
  </si>
  <si>
    <t>L.O.A.</t>
  </si>
  <si>
    <t>Gross Tonnage</t>
  </si>
  <si>
    <t>Breadth</t>
  </si>
  <si>
    <t>Summer Draft</t>
  </si>
  <si>
    <t>Net Tonnage</t>
  </si>
  <si>
    <t>DRAFTS AND CALCULATIONS</t>
  </si>
  <si>
    <t>UNIT</t>
  </si>
  <si>
    <t>cm</t>
  </si>
  <si>
    <t>Starboard</t>
  </si>
  <si>
    <t>Mean</t>
  </si>
  <si>
    <t>Stern Correction</t>
  </si>
  <si>
    <t>Corected Fore</t>
  </si>
  <si>
    <t>Corrected Aft</t>
  </si>
  <si>
    <t>Mid Correction</t>
  </si>
  <si>
    <t>Corrected Mid</t>
  </si>
  <si>
    <t xml:space="preserve">     Mean Fore/Aft</t>
  </si>
  <si>
    <t xml:space="preserve">     Mean of Mean</t>
  </si>
  <si>
    <t xml:space="preserve">     Quarter Mean </t>
  </si>
  <si>
    <t>Corresponding Displacement</t>
  </si>
  <si>
    <t xml:space="preserve"> Trim  correction  </t>
  </si>
  <si>
    <t>Corrected displacement For Trim</t>
  </si>
  <si>
    <t xml:space="preserve"> Density of Dock water</t>
  </si>
  <si>
    <t>Kg/l</t>
  </si>
  <si>
    <t>Corrected displacement For Density</t>
  </si>
  <si>
    <t>Deductibles Liquids</t>
  </si>
  <si>
    <t>Net Light / Loaded displacement</t>
  </si>
  <si>
    <t>The draft Survey is jointly effected with the ship's staff and calculated on basis of the existing calibrations tables and data on board and supplied by Captain and/or Chief Off. Prior to commencement and after completion of the Un/loading.</t>
  </si>
  <si>
    <t>Master / Chief Off.</t>
  </si>
  <si>
    <t xml:space="preserve">   </t>
  </si>
  <si>
    <t>DRAFT SURVEY</t>
  </si>
  <si>
    <t>Page 2/3</t>
  </si>
  <si>
    <t>DETAILS</t>
  </si>
  <si>
    <t xml:space="preserve">Apparent Trim </t>
  </si>
  <si>
    <t>Distance of Fore Draft Marks (F or A)</t>
  </si>
  <si>
    <t>Distance of Midship Draft Marks (F or A)</t>
  </si>
  <si>
    <t>Distance of After Draft Marks (F or A)</t>
  </si>
  <si>
    <t xml:space="preserve">Stem Correction </t>
  </si>
  <si>
    <t>Midships Correction</t>
  </si>
  <si>
    <t xml:space="preserve">Stern Correction </t>
  </si>
  <si>
    <t>Corrected Forward Mean</t>
  </si>
  <si>
    <t>Corrected Midships Mean</t>
  </si>
  <si>
    <t>Corrected After Mean</t>
  </si>
  <si>
    <t>Trim Corrected</t>
  </si>
  <si>
    <t>Quarter Mean</t>
  </si>
  <si>
    <t>Hull deformation</t>
  </si>
  <si>
    <t>Hog / Sag</t>
  </si>
  <si>
    <t>-</t>
  </si>
  <si>
    <t xml:space="preserve">Corresponding Displacement </t>
  </si>
  <si>
    <t>Position of LCF ( F / A )</t>
  </si>
  <si>
    <t>MT/cm</t>
  </si>
  <si>
    <t>MTC + 50</t>
  </si>
  <si>
    <t>MTC - 50</t>
  </si>
  <si>
    <t>DMTC</t>
  </si>
  <si>
    <t>Density of Dock water</t>
  </si>
  <si>
    <t>Density Correction</t>
  </si>
  <si>
    <t>Deductions</t>
  </si>
  <si>
    <t>Ballast Water</t>
  </si>
  <si>
    <t>F. Water</t>
  </si>
  <si>
    <t>Bunkers</t>
  </si>
  <si>
    <t>Others     :</t>
  </si>
  <si>
    <t>Net / Load Displacement</t>
  </si>
  <si>
    <t>Declared Constante :</t>
  </si>
  <si>
    <t>Actual Constante :</t>
  </si>
  <si>
    <t>Page 3/3</t>
  </si>
  <si>
    <t>DEDUCTIBLES</t>
  </si>
  <si>
    <t>INITIAL SURVEY</t>
  </si>
  <si>
    <t>FINAL SURVEY</t>
  </si>
  <si>
    <t>Ballast</t>
  </si>
  <si>
    <t>Sounding (cm)</t>
  </si>
  <si>
    <t>Volume (m3)</t>
  </si>
  <si>
    <t>Density (Kg/l)</t>
  </si>
  <si>
    <t>Weight   (MT)</t>
  </si>
  <si>
    <t>Weight     (MT)</t>
  </si>
  <si>
    <t>Total</t>
  </si>
  <si>
    <t>Fresh water</t>
  </si>
  <si>
    <t xml:space="preserve">Density     = </t>
  </si>
  <si>
    <t>kg/l</t>
  </si>
  <si>
    <t>Weight (MT)</t>
  </si>
  <si>
    <t>The quantity of bunkers were supplied by Captain/Chef Off./Chief Engineer</t>
  </si>
  <si>
    <t>Master/ Chief Off.</t>
  </si>
  <si>
    <t xml:space="preserve"> </t>
  </si>
  <si>
    <t xml:space="preserve">            F O R E</t>
  </si>
  <si>
    <t xml:space="preserve">           A   F   T</t>
  </si>
  <si>
    <t xml:space="preserve">           M  I  D</t>
  </si>
  <si>
    <t>Vesse</t>
  </si>
  <si>
    <t>Port of Discharging</t>
  </si>
  <si>
    <t xml:space="preserve">Un/loading commenced on </t>
  </si>
  <si>
    <t>Final Sdg</t>
  </si>
  <si>
    <t>Init sdg</t>
  </si>
  <si>
    <t>Number of Ballast Tks   :</t>
  </si>
  <si>
    <t xml:space="preserve">     :</t>
  </si>
  <si>
    <t>Summer Deadweight     :</t>
  </si>
  <si>
    <t>Keel Correction</t>
  </si>
  <si>
    <t>Operation commenced on</t>
  </si>
  <si>
    <t>Operation completed on</t>
  </si>
  <si>
    <t>Nationality</t>
  </si>
  <si>
    <t>A    F     T</t>
  </si>
  <si>
    <t xml:space="preserve">3/ </t>
  </si>
  <si>
    <t/>
  </si>
  <si>
    <t>"""</t>
  </si>
  <si>
    <t>""""</t>
  </si>
  <si>
    <t>"""""</t>
  </si>
  <si>
    <t>""</t>
  </si>
  <si>
    <t>""""""""""""""</t>
  </si>
  <si>
    <t>""""""""</t>
  </si>
  <si>
    <t>ANTIGUA &amp; BARBUDA</t>
  </si>
  <si>
    <t>SHREDDED TYRES</t>
  </si>
  <si>
    <t>CASABLANCA</t>
  </si>
  <si>
    <t>F</t>
  </si>
  <si>
    <t>1/</t>
  </si>
  <si>
    <t>2/</t>
  </si>
  <si>
    <r>
      <t>Gross 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</si>
  <si>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Net 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</si>
  <si>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Summer Draft (en</t>
    </r>
    <r>
      <rPr>
        <b/>
        <sz val="10"/>
        <color theme="0"/>
        <rFont val="Segoe UI Semibold"/>
        <family val="2"/>
      </rPr>
      <t xml:space="preserve"> m</t>
    </r>
    <r>
      <rPr>
        <sz val="10"/>
        <color theme="0"/>
        <rFont val="Segoe UI Semibold"/>
        <family val="2"/>
      </rPr>
      <t>)</t>
    </r>
  </si>
  <si>
    <r>
      <t xml:space="preserve">Summer Freeboard (en </t>
    </r>
    <r>
      <rPr>
        <b/>
        <sz val="10"/>
        <color theme="0"/>
        <rFont val="Segoe UI Semibold"/>
        <family val="2"/>
      </rPr>
      <t>m</t>
    </r>
    <r>
      <rPr>
        <sz val="10"/>
        <color theme="0"/>
        <rFont val="Segoe UI Semibold"/>
        <family val="2"/>
      </rPr>
      <t>)</t>
    </r>
  </si>
  <si>
    <r>
      <t>Summer Deadweight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</si>
  <si>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Light Ship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</si>
  <si>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>Constante declared  (</t>
    </r>
    <r>
      <rPr>
        <b/>
        <sz val="10"/>
        <color theme="0"/>
        <rFont val="Segoe UI Semibold"/>
        <family val="2"/>
      </rPr>
      <t>MT</t>
    </r>
    <r>
      <rPr>
        <sz val="10"/>
        <color theme="0"/>
        <rFont val="Segoe UI Semibold"/>
        <family val="2"/>
      </rPr>
      <t>)</t>
    </r>
  </si>
  <si>
    <r>
      <t xml:space="preserve">LBP (en </t>
    </r>
    <r>
      <rPr>
        <b/>
        <sz val="11"/>
        <color theme="0"/>
        <rFont val="Segoe UI Semibold"/>
        <family val="2"/>
      </rPr>
      <t>m)</t>
    </r>
  </si>
  <si>
    <r>
      <t xml:space="preserve">LOA (en </t>
    </r>
    <r>
      <rPr>
        <b/>
        <sz val="11"/>
        <color theme="0"/>
        <rFont val="Segoe UI Semibold"/>
        <family val="2"/>
      </rPr>
      <t>m)</t>
    </r>
  </si>
  <si>
    <r>
      <t xml:space="preserve">Breadth (en </t>
    </r>
    <r>
      <rPr>
        <b/>
        <sz val="11"/>
        <color theme="0"/>
        <rFont val="Segoe UI Semibold"/>
        <family val="2"/>
      </rPr>
      <t>m)</t>
    </r>
  </si>
  <si>
    <t xml:space="preserve">F    O    R  </t>
  </si>
  <si>
    <t>Interpolation</t>
  </si>
  <si>
    <t>Trim Initial :</t>
  </si>
  <si>
    <t>Dans la table</t>
  </si>
  <si>
    <t>Trim inf</t>
  </si>
  <si>
    <t>Trim Sup</t>
  </si>
  <si>
    <t>Sonde Sup</t>
  </si>
  <si>
    <t>Sonde Inf</t>
  </si>
  <si>
    <t>Sonde mesurée:</t>
  </si>
  <si>
    <r>
      <t>M</t>
    </r>
    <r>
      <rPr>
        <vertAlign val="superscript"/>
        <sz val="10"/>
        <color theme="0"/>
        <rFont val="Arial"/>
        <family val="2"/>
      </rPr>
      <t>3</t>
    </r>
  </si>
  <si>
    <t>Trim Final :</t>
  </si>
  <si>
    <t>Trim</t>
  </si>
  <si>
    <t>AGADIR</t>
  </si>
  <si>
    <t>NADOR</t>
  </si>
  <si>
    <t>TANGER</t>
  </si>
  <si>
    <t>SAFI</t>
  </si>
  <si>
    <t>LAAYOUNE</t>
  </si>
  <si>
    <t>FP</t>
  </si>
  <si>
    <t>FULL</t>
  </si>
  <si>
    <t>FW P</t>
  </si>
  <si>
    <t>FW S</t>
  </si>
  <si>
    <t>D W</t>
  </si>
  <si>
    <t>IND</t>
  </si>
  <si>
    <t>Vessel</t>
  </si>
  <si>
    <t>ID</t>
  </si>
  <si>
    <t>Vessels</t>
  </si>
  <si>
    <t>Port of Registtry</t>
  </si>
  <si>
    <t>LBP</t>
  </si>
  <si>
    <t>LOA</t>
  </si>
  <si>
    <t>GRT</t>
  </si>
  <si>
    <t>NRT</t>
  </si>
  <si>
    <t>DeadWeight</t>
  </si>
  <si>
    <t>Sum. Dft</t>
  </si>
  <si>
    <t>Const. Decl</t>
  </si>
  <si>
    <t>Bredth</t>
  </si>
  <si>
    <t>Loading Port</t>
  </si>
  <si>
    <t>Discharging Port</t>
  </si>
  <si>
    <t>Product</t>
  </si>
  <si>
    <t>BL Weight</t>
  </si>
  <si>
    <t>Sum. Freeboard</t>
  </si>
  <si>
    <t xml:space="preserve"> Arrival</t>
  </si>
  <si>
    <t xml:space="preserve"> Departure</t>
  </si>
  <si>
    <t>Dis Fore</t>
  </si>
  <si>
    <t>A/F</t>
  </si>
  <si>
    <t>Dis Aft</t>
  </si>
  <si>
    <t>A/F2</t>
  </si>
  <si>
    <t xml:space="preserve"> Dis Mid</t>
  </si>
  <si>
    <t>A/F3</t>
  </si>
  <si>
    <t>Ini For Dft P</t>
  </si>
  <si>
    <t>Ini For Dft S</t>
  </si>
  <si>
    <t>Ini Aft Dft P</t>
  </si>
  <si>
    <t>Ini Aft Dft S</t>
  </si>
  <si>
    <t>Ini Mid Dft P</t>
  </si>
  <si>
    <t>Ini Mid Dft S</t>
  </si>
  <si>
    <t>Fin For Dft P</t>
  </si>
  <si>
    <t>Fin For Dft S</t>
  </si>
  <si>
    <t>Fin Aft Dft P</t>
  </si>
  <si>
    <t>Fin Aft Dft S</t>
  </si>
  <si>
    <t>Fin Mid Dft P</t>
  </si>
  <si>
    <t>Fin Mid Dft S</t>
  </si>
  <si>
    <t>ARKLOW VIEW</t>
  </si>
  <si>
    <t>NETHERLANDS</t>
  </si>
  <si>
    <t>ROTTERDAM</t>
  </si>
  <si>
    <t>GLOMFJORD</t>
  </si>
  <si>
    <t>PHOS</t>
  </si>
  <si>
    <t>3702,3</t>
  </si>
  <si>
    <t>0,86</t>
  </si>
  <si>
    <t>N/A</t>
  </si>
  <si>
    <t>522,7</t>
  </si>
  <si>
    <t>531,8</t>
  </si>
  <si>
    <t>320,9</t>
  </si>
  <si>
    <t>ARKLOW VENUS</t>
  </si>
  <si>
    <t>ARKLOW ACE</t>
  </si>
  <si>
    <t>IRELAND</t>
  </si>
  <si>
    <t>ARKLOW</t>
  </si>
  <si>
    <t>99,5</t>
  </si>
  <si>
    <t>360,5</t>
  </si>
  <si>
    <t>ARKLOW CADET</t>
  </si>
  <si>
    <t>ARKLOW CAPE</t>
  </si>
  <si>
    <t>ARKLOW CASTLE</t>
  </si>
  <si>
    <t>ARKLOW CLAN</t>
  </si>
  <si>
    <t>ARKLOW CLIFF</t>
  </si>
  <si>
    <t>345,1</t>
  </si>
  <si>
    <t>348,1</t>
  </si>
  <si>
    <t>616,1</t>
  </si>
  <si>
    <t>615,1</t>
  </si>
  <si>
    <t>ARKLOW FOREST</t>
  </si>
  <si>
    <t xml:space="preserve">23/08/2020 </t>
  </si>
  <si>
    <t xml:space="preserve">24/08/2022 </t>
  </si>
  <si>
    <t>ARKLOW FALCON</t>
  </si>
  <si>
    <t>ARKLOW FERN</t>
  </si>
  <si>
    <t>622,5</t>
  </si>
  <si>
    <t>617,5</t>
  </si>
  <si>
    <t>ARKLOW FIELD</t>
  </si>
  <si>
    <t>0,85</t>
  </si>
  <si>
    <t>227,5</t>
  </si>
  <si>
    <t>347,1</t>
  </si>
  <si>
    <t>354,1</t>
  </si>
  <si>
    <t>629,8</t>
  </si>
  <si>
    <t>ARKLOW RAINBOW</t>
  </si>
  <si>
    <t>355,2</t>
  </si>
  <si>
    <t>332,2</t>
  </si>
  <si>
    <t>610,7</t>
  </si>
  <si>
    <t>605,2</t>
  </si>
  <si>
    <t>ARKLOW RIVAL</t>
  </si>
  <si>
    <t>ARKLOW ROGUE</t>
  </si>
  <si>
    <t>ARKLOW RULER</t>
  </si>
  <si>
    <t>ARKLOW VALLEY</t>
  </si>
  <si>
    <t>ARKLOW VANGURD</t>
  </si>
  <si>
    <t>ARKLOW REBEL</t>
  </si>
  <si>
    <t>ARKLOW RAVEN</t>
  </si>
  <si>
    <t>ARKLOW RAIDER</t>
  </si>
  <si>
    <t>ARKLOW FREEDOM</t>
  </si>
  <si>
    <t>ARKLOW FLAIR</t>
  </si>
  <si>
    <t>14/03/20219</t>
  </si>
  <si>
    <t>ARKLOW VAILLANT</t>
  </si>
  <si>
    <t>ARKLOW VENTURE</t>
  </si>
  <si>
    <t>VALENTINA</t>
  </si>
  <si>
    <t>BARBADOS</t>
  </si>
  <si>
    <t>BRIDGETOWN</t>
  </si>
  <si>
    <t>MUSERATA</t>
  </si>
  <si>
    <t>HBI</t>
  </si>
  <si>
    <t>SUURHUSEN</t>
  </si>
  <si>
    <t>ST JOHN'S</t>
  </si>
  <si>
    <t xml:space="preserve">MIDDLESBROUGH </t>
  </si>
  <si>
    <t>ST SC</t>
  </si>
  <si>
    <t>E</t>
  </si>
  <si>
    <t>ARKLOW BAY</t>
  </si>
  <si>
    <t>OSKARSHAMEN SWEDEN</t>
  </si>
  <si>
    <t>MARIA ELISE</t>
  </si>
  <si>
    <t>LIBERIA</t>
  </si>
  <si>
    <t>MONROVIA</t>
  </si>
  <si>
    <t>PASSAJES SP</t>
  </si>
  <si>
    <t>ARKLOW ABBEY</t>
  </si>
  <si>
    <t>GOLDEN SEA</t>
  </si>
  <si>
    <t>PANAMA</t>
  </si>
  <si>
    <t>ALEXANDER</t>
  </si>
  <si>
    <t>ADAROSE</t>
  </si>
  <si>
    <t>FINITA R</t>
  </si>
  <si>
    <t>SPAIN</t>
  </si>
  <si>
    <t>ST CRUZE DE TENERIFE</t>
  </si>
  <si>
    <t>ARINAGA CANARIA  ISLAND</t>
  </si>
  <si>
    <t>SUNMI</t>
  </si>
  <si>
    <t>BAHAMAS</t>
  </si>
  <si>
    <t>NASSAU</t>
  </si>
  <si>
    <t>WARRENTPOINT</t>
  </si>
  <si>
    <t>SUA</t>
  </si>
  <si>
    <t>BARCELONE SP</t>
  </si>
  <si>
    <t>STRAMI</t>
  </si>
  <si>
    <t>SOUTHAMPTON UK</t>
  </si>
  <si>
    <t>KRISTIN</t>
  </si>
  <si>
    <t>KOLDING DK</t>
  </si>
  <si>
    <t>ALSTERDIEP</t>
  </si>
  <si>
    <t>CYPRUS</t>
  </si>
  <si>
    <t>LIMASSOL</t>
  </si>
  <si>
    <t>FREDERIKSVAERK NW</t>
  </si>
  <si>
    <t>ORKO</t>
  </si>
  <si>
    <t>HERBEIRA</t>
  </si>
  <si>
    <t>TRIPLE S</t>
  </si>
  <si>
    <t>TEESPORT UK</t>
  </si>
  <si>
    <t>WOLF</t>
  </si>
  <si>
    <t>MALTA</t>
  </si>
  <si>
    <t>VALLETTA</t>
  </si>
  <si>
    <t>LENNEBORG</t>
  </si>
  <si>
    <t>DELFZIJL</t>
  </si>
  <si>
    <t>COLDING DK</t>
  </si>
  <si>
    <t>FRI GDANSK</t>
  </si>
  <si>
    <t>NORWAY</t>
  </si>
  <si>
    <t>KOPERVIK</t>
  </si>
  <si>
    <t>FRI BERGEN</t>
  </si>
  <si>
    <t>MANUELA E</t>
  </si>
  <si>
    <t>MANISA BELEN</t>
  </si>
  <si>
    <t>MANISA GRETA</t>
  </si>
  <si>
    <t>Portugal</t>
  </si>
  <si>
    <t>MADEIRA</t>
  </si>
  <si>
    <t>N</t>
  </si>
  <si>
    <t>NAOS</t>
  </si>
  <si>
    <t>ROYAL STAR</t>
  </si>
  <si>
    <t>RUBYLAND</t>
  </si>
  <si>
    <t>AMSTAL</t>
  </si>
  <si>
    <t>MANIZALES</t>
  </si>
  <si>
    <t>PARAMARIBO SURINAME</t>
  </si>
  <si>
    <t>SPANACO LOYALTY</t>
  </si>
  <si>
    <t>MARRANT</t>
  </si>
  <si>
    <t>BELGIUM</t>
  </si>
  <si>
    <t>ANTWERPEN</t>
  </si>
  <si>
    <t>CARDIFF UK</t>
  </si>
  <si>
    <t>JOMI</t>
  </si>
  <si>
    <t>LADY AUGUSTA</t>
  </si>
  <si>
    <t>JAMAICA</t>
  </si>
  <si>
    <t>MONTEGO BAY</t>
  </si>
  <si>
    <t>ARKLOW BREEZ</t>
  </si>
  <si>
    <t>AMSTERDAM</t>
  </si>
  <si>
    <t>OCMIS ADVENTURE</t>
  </si>
  <si>
    <t>PALU</t>
  </si>
  <si>
    <t>MALAKAL HARBOR</t>
  </si>
  <si>
    <t>DEUN</t>
  </si>
  <si>
    <t>LETRIPORT FR</t>
  </si>
  <si>
    <t>JORD</t>
  </si>
  <si>
    <t>TELMO</t>
  </si>
  <si>
    <t>GARD</t>
  </si>
  <si>
    <t>ANZORAS</t>
  </si>
  <si>
    <t>LETRIPORT</t>
  </si>
  <si>
    <t>ALBIZ</t>
  </si>
  <si>
    <t xml:space="preserve">LORIENT </t>
  </si>
  <si>
    <t>FRI LIEPAJA</t>
  </si>
  <si>
    <t>HAMMER</t>
  </si>
  <si>
    <t>VANUATU</t>
  </si>
  <si>
    <t>PORT VILA</t>
  </si>
  <si>
    <t>JADELAND</t>
  </si>
  <si>
    <t>HULL UK</t>
  </si>
  <si>
    <t>LAPISLAD</t>
  </si>
  <si>
    <t>MSM DOLORE</t>
  </si>
  <si>
    <t>ROCHEFORE</t>
  </si>
  <si>
    <t>DADAYLI</t>
  </si>
  <si>
    <t>TURKEY</t>
  </si>
  <si>
    <t>ISTANBUL</t>
  </si>
  <si>
    <t>ROUEN FR</t>
  </si>
  <si>
    <t>TINA C</t>
  </si>
  <si>
    <t>ENGLAND</t>
  </si>
  <si>
    <t>COWS</t>
  </si>
  <si>
    <t>AFALINA</t>
  </si>
  <si>
    <t>LITHUANIA</t>
  </si>
  <si>
    <t>KLAIPEDA</t>
  </si>
  <si>
    <t>MEDAL</t>
  </si>
  <si>
    <t>GLASGOW UJ</t>
  </si>
  <si>
    <t>FL LEVANTE</t>
  </si>
  <si>
    <t>LADY SHAM</t>
  </si>
  <si>
    <t>SIERRA LEONE</t>
  </si>
  <si>
    <t>FREETOWN</t>
  </si>
  <si>
    <t>SPANCO LOYALTY</t>
  </si>
  <si>
    <t>BREB TIMBER</t>
  </si>
  <si>
    <t>LAIDA</t>
  </si>
  <si>
    <t>LAGA</t>
  </si>
  <si>
    <t>LINA</t>
  </si>
  <si>
    <t>BELIZE</t>
  </si>
  <si>
    <t>BELIZE CITY</t>
  </si>
  <si>
    <t>LYRA</t>
  </si>
  <si>
    <t>MUZAFER BEY</t>
  </si>
  <si>
    <t>EMSTAL</t>
  </si>
  <si>
    <t>BIMI</t>
  </si>
  <si>
    <t>BERGEN</t>
  </si>
  <si>
    <t>CHRISTINE</t>
  </si>
  <si>
    <t>NAVIN OSPREY</t>
  </si>
  <si>
    <t>MARSHALL ISLANDS</t>
  </si>
  <si>
    <t>MAJURO</t>
  </si>
  <si>
    <t>WILSON NORFOLK</t>
  </si>
  <si>
    <t>KRISTEN B</t>
  </si>
  <si>
    <t>MINSTREL</t>
  </si>
  <si>
    <t>ST. VINCET &amp; GRENADINES</t>
  </si>
  <si>
    <t>KINGSTOWN</t>
  </si>
  <si>
    <t xml:space="preserve">LYON </t>
  </si>
  <si>
    <t>ASALY</t>
  </si>
  <si>
    <t>TEES UK</t>
  </si>
  <si>
    <t>SALT</t>
  </si>
  <si>
    <t>SIDER BILBAO</t>
  </si>
  <si>
    <t>CARTAGENA SP</t>
  </si>
  <si>
    <t>COAL</t>
  </si>
  <si>
    <t>AROMA 2</t>
  </si>
  <si>
    <t>PUERTO BOLIVAR COL</t>
  </si>
  <si>
    <t>CABRERA</t>
  </si>
  <si>
    <t>ITALIDA</t>
  </si>
  <si>
    <t>LADY DEMET</t>
  </si>
  <si>
    <t>LOUISA BOLTON</t>
  </si>
  <si>
    <t>MANISA ALENA</t>
  </si>
  <si>
    <t>AVILES SP</t>
  </si>
  <si>
    <t>ANTRACITE</t>
  </si>
  <si>
    <t>MANISA CAMILA</t>
  </si>
  <si>
    <t>MANISA KRISTIN</t>
  </si>
  <si>
    <t>SCHOONHOVEN</t>
  </si>
  <si>
    <t>MANISA STAR</t>
  </si>
  <si>
    <t>ROSALIA</t>
  </si>
  <si>
    <t>TRITO NAVIGATOR</t>
  </si>
  <si>
    <t>HEERENVEEN</t>
  </si>
  <si>
    <t>GRUNDERTANGI ICELAND</t>
  </si>
  <si>
    <t>MILL SCALE</t>
  </si>
  <si>
    <t>WILSON SUND</t>
  </si>
  <si>
    <t>DESERT SPRING</t>
  </si>
  <si>
    <t>DOUALA CAMEROUN</t>
  </si>
  <si>
    <t>CLINKER</t>
  </si>
  <si>
    <t>PHOBOS</t>
  </si>
  <si>
    <t>NOUADIBOU MAURITANIE</t>
  </si>
  <si>
    <t>YASA UNSAL SUNAR</t>
  </si>
  <si>
    <t>CONAKRY GUINEA</t>
  </si>
  <si>
    <t>Colonne1</t>
  </si>
  <si>
    <t>228,0 C</t>
  </si>
  <si>
    <t>140,0 C</t>
  </si>
  <si>
    <t xml:space="preserve"> Surveyor</t>
  </si>
  <si>
    <t>Surveyor</t>
  </si>
  <si>
    <t>DB1P</t>
  </si>
  <si>
    <t>DB1S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</si>
</sst>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0C]d\ mmmm\ yyyy;@"/>
    <numFmt numFmtId="165" formatCode="h:mm;@"/>
    <numFmt numFmtId="166" formatCode="0.000"/>
    <numFmt numFmtId="167" formatCode="0.0000"/>
    <numFmt numFmtId="168" formatCode="0.0"/>
    <numFmt numFmtId="169" formatCode="#,##0.000"/>
    <numFmt numFmtId="170" formatCode="#,##0.0000"/>
    <numFmt numFmtId="171" formatCode="#,##0.000;[Red]#,##0.000"/>
    <numFmt numFmtId="172" formatCode="m/d/yyyy"/>
  </numFmts>
  <fonts count="9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sz val="7.5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u/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9"/>
      <name val="Arial"/>
      <family val="2"/>
    </font>
    <font>
      <i/>
      <u/>
      <sz val="11"/>
      <name val="Arial"/>
      <family val="2"/>
    </font>
    <font>
      <sz val="7"/>
      <name val="Arial"/>
      <family val="2"/>
    </font>
    <font>
      <b/>
      <sz val="8"/>
      <color indexed="53"/>
      <name val="Arial"/>
      <family val="2"/>
    </font>
    <font>
      <b/>
      <sz val="7"/>
      <name val="Arial"/>
      <family val="2"/>
    </font>
    <font>
      <sz val="7"/>
      <name val="CG Times"/>
      <family val="1"/>
    </font>
    <font>
      <sz val="7"/>
      <name val="Times New Roman"/>
      <family val="1"/>
    </font>
    <font>
      <b/>
      <sz val="12"/>
      <name val="Arial"/>
      <family val="2"/>
    </font>
    <font>
      <b/>
      <sz val="14"/>
      <name val="Arial"/>
      <family val="2"/>
    </font>
    <font>
      <sz val="6"/>
      <name val="Arial"/>
      <family val="2"/>
    </font>
    <font>
      <b/>
      <i/>
      <u/>
      <sz val="10"/>
      <name val="Arial"/>
      <family val="2"/>
    </font>
    <font>
      <b/>
      <i/>
      <u/>
      <sz val="1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0"/>
      <name val="Segoe UI Semibold"/>
      <family val="2"/>
    </font>
    <font>
      <sz val="10"/>
      <color theme="0"/>
      <name val="Segoe UI Semibold"/>
      <family val="2"/>
    </font>
    <font>
      <b/>
      <sz val="10"/>
      <color theme="0"/>
      <name val="Segoe UI Semibold"/>
      <family val="2"/>
    </font>
    <font>
      <b/>
      <sz val="11"/>
      <color theme="0"/>
      <name val="Segoe UI Semibold"/>
      <family val="2"/>
    </font>
    <font>
      <sz val="11"/>
      <color theme="5" tint="0.59999389629810485"/>
      <name val="Segoe UI Semibold"/>
      <family val="2"/>
    </font>
    <font>
      <b/>
      <sz val="11"/>
      <color theme="0" tint="-0.14999847407452621"/>
      <name val="Segoe UI Semibold"/>
      <family val="2"/>
    </font>
    <font>
      <sz val="11"/>
      <color theme="2" tint="-0.499984740745262"/>
      <name val="Segoe UI Semibold"/>
      <family val="2"/>
    </font>
    <font>
      <b/>
      <i/>
      <sz val="10"/>
      <color theme="5" tint="0.59999389629810485"/>
      <name val="Segoe UI Semibold"/>
      <family val="2"/>
    </font>
    <font>
      <b/>
      <u/>
      <sz val="11"/>
      <color rgb="FF00FF99"/>
      <name val="Segoe UI Semibold"/>
      <family val="2"/>
    </font>
    <font>
      <i/>
      <sz val="10"/>
      <color theme="5" tint="0.59999389629810485"/>
      <name val="Segoe UI Semibold"/>
      <family val="2"/>
    </font>
    <font>
      <b/>
      <sz val="11"/>
      <color rgb="FF00FF99"/>
      <name val="Segoe UI Semibold"/>
      <family val="2"/>
    </font>
    <font>
      <b/>
      <u/>
      <sz val="11"/>
      <color rgb="FFFFFF00"/>
      <name val="Segoe UI Semibold"/>
      <family val="2"/>
    </font>
    <font>
      <b/>
      <u/>
      <sz val="11"/>
      <color rgb="FFFFC000"/>
      <name val="Segoe UI Semibold"/>
      <family val="2"/>
    </font>
    <font>
      <sz val="10"/>
      <color theme="5" tint="0.59999389629810485"/>
      <name val="Segoe UI Semibold"/>
      <family val="2"/>
    </font>
    <font>
      <i/>
      <sz val="11"/>
      <color theme="5" tint="0.59999389629810485"/>
      <name val="Segoe UI Semibold"/>
      <family val="2"/>
    </font>
    <font>
      <b/>
      <i/>
      <sz val="11"/>
      <color theme="5" tint="0.59999389629810485"/>
      <name val="Segoe UI Semibold"/>
      <family val="2"/>
    </font>
    <font>
      <b/>
      <sz val="10"/>
      <color theme="5" tint="0.59999389629810485"/>
      <name val="Segoe UI Semibold"/>
      <family val="2"/>
    </font>
    <font>
      <b/>
      <sz val="11"/>
      <color theme="5" tint="0.59999389629810485"/>
      <name val="Segoe UI Semibold"/>
      <family val="2"/>
    </font>
    <font>
      <b/>
      <sz val="10"/>
      <color rgb="FFFFFF00"/>
      <name val="Segoe UI Semibold"/>
      <family val="2"/>
    </font>
    <font>
      <b/>
      <sz val="9"/>
      <color theme="0"/>
      <name val="Segoe UI Semibold"/>
      <family val="2"/>
    </font>
    <font>
      <b/>
      <sz val="8"/>
      <color theme="1" tint="0.34998626667073579"/>
      <name val="Segoe UI Semibold"/>
      <family val="2"/>
    </font>
    <font>
      <sz val="7.5"/>
      <color theme="1" tint="0.34998626667073579"/>
      <name val="Segoe UI Semibold"/>
      <family val="2"/>
    </font>
    <font>
      <b/>
      <sz val="8"/>
      <color theme="0"/>
      <name val="Segoe UI Semibold"/>
      <family val="2"/>
    </font>
    <font>
      <sz val="7.5"/>
      <color theme="0"/>
      <name val="Segoe UI Semibold"/>
      <family val="2"/>
    </font>
    <font>
      <b/>
      <i/>
      <sz val="11"/>
      <color theme="0"/>
      <name val="Segoe UI Semibold"/>
      <family val="2"/>
    </font>
    <font>
      <b/>
      <sz val="14"/>
      <color rgb="FFFFFF00"/>
      <name val="Segoe UI Semibold"/>
      <family val="2"/>
    </font>
    <font>
      <sz val="9"/>
      <color theme="0"/>
      <name val="Segoe UI Semibold"/>
      <family val="2"/>
    </font>
    <font>
      <b/>
      <i/>
      <sz val="11"/>
      <color theme="6" tint="0.59999389629810485"/>
      <name val="Segoe UI Semibold"/>
      <family val="2"/>
    </font>
    <font>
      <b/>
      <sz val="11"/>
      <color rgb="FFFFFF00"/>
      <name val="Segoe UI Semibold"/>
      <family val="2"/>
    </font>
    <font>
      <sz val="11"/>
      <color rgb="FFFFFF00"/>
      <name val="Segoe UI Semibold"/>
      <family val="2"/>
    </font>
    <font>
      <b/>
      <i/>
      <sz val="10"/>
      <color theme="6" tint="0.59999389629810485"/>
      <name val="Segoe UI Semibold"/>
      <family val="2"/>
    </font>
    <font>
      <b/>
      <i/>
      <sz val="10"/>
      <color theme="0"/>
      <name val="Segoe UI Semibold"/>
      <family val="2"/>
    </font>
    <font>
      <i/>
      <sz val="10"/>
      <color theme="6" tint="0.59999389629810485"/>
      <name val="Segoe UI Semibold"/>
      <family val="2"/>
    </font>
    <font>
      <sz val="11"/>
      <color theme="6" tint="0.59999389629810485"/>
      <name val="Segoe UI Semibold"/>
      <family val="2"/>
    </font>
    <font>
      <b/>
      <sz val="10"/>
      <color theme="9" tint="0.39997558519241921"/>
      <name val="Segoe UI Semibold"/>
      <family val="2"/>
    </font>
    <font>
      <b/>
      <sz val="10"/>
      <color theme="4" tint="0.39997558519241921"/>
      <name val="Segoe UI Semibold"/>
      <family val="2"/>
    </font>
    <font>
      <b/>
      <sz val="11"/>
      <color theme="9" tint="0.39997558519241921"/>
      <name val="Segoe UI Semibold"/>
      <family val="2"/>
    </font>
    <font>
      <sz val="11"/>
      <color theme="9" tint="0.39997558519241921"/>
      <name val="Segoe UI Semibold"/>
      <family val="2"/>
    </font>
    <font>
      <sz val="10"/>
      <color rgb="FFFFFF00"/>
      <name val="Segoe UI Semibold"/>
      <family val="2"/>
    </font>
    <font>
      <b/>
      <sz val="10"/>
      <color theme="3" tint="0.59999389629810485"/>
      <name val="Segoe UI Semibold"/>
      <family val="2"/>
    </font>
    <font>
      <sz val="11"/>
      <color theme="3" tint="0.59999389629810485"/>
      <name val="Segoe UI Semibold"/>
      <family val="2"/>
    </font>
    <font>
      <b/>
      <sz val="10"/>
      <color theme="8" tint="0.59999389629810485"/>
      <name val="Segoe UI Semibold"/>
      <family val="2"/>
    </font>
    <font>
      <b/>
      <sz val="11"/>
      <color theme="8" tint="0.59999389629810485"/>
      <name val="Segoe UI Semibold"/>
      <family val="2"/>
    </font>
    <font>
      <i/>
      <sz val="11"/>
      <color theme="0"/>
      <name val="Segoe UI Semibold"/>
      <family val="2"/>
    </font>
    <font>
      <b/>
      <i/>
      <sz val="11"/>
      <color theme="8" tint="0.59999389629810485"/>
      <name val="Segoe UI Semibold"/>
      <family val="2"/>
    </font>
    <font>
      <sz val="11"/>
      <color theme="8" tint="0.59999389629810485"/>
      <name val="Segoe UI Semibold"/>
      <family val="2"/>
    </font>
    <font>
      <b/>
      <sz val="11"/>
      <color theme="4" tint="0.59999389629810485"/>
      <name val="Segoe UI Semibold"/>
      <family val="2"/>
    </font>
    <font>
      <sz val="10"/>
      <color theme="4" tint="0.59999389629810485"/>
      <name val="Segoe UI Semibold"/>
      <family val="2"/>
    </font>
    <font>
      <b/>
      <sz val="11"/>
      <color rgb="FFFFC000"/>
      <name val="Segoe UI Semibold"/>
      <family val="2"/>
    </font>
    <font>
      <sz val="10"/>
      <color rgb="FFFFC000"/>
      <name val="Segoe UI Semibold"/>
      <family val="2"/>
    </font>
    <font>
      <b/>
      <sz val="14"/>
      <color rgb="FFFF0000"/>
      <name val="Segoe UI Semibold"/>
      <family val="2"/>
    </font>
    <font>
      <sz val="8"/>
      <color theme="7" tint="0.79998168889431442"/>
      <name val="Segoe UI Semibold"/>
      <family val="2"/>
    </font>
    <font>
      <i/>
      <sz val="10"/>
      <color theme="0"/>
      <name val="Segoe UI Semibold"/>
      <family val="2"/>
    </font>
    <font>
      <sz val="10"/>
      <color theme="1" tint="0.34998626667073579"/>
      <name val="Segoe UI Semibold"/>
      <family val="2"/>
    </font>
    <font>
      <b/>
      <sz val="10"/>
      <color theme="1" tint="0.34998626667073579"/>
      <name val="Segoe UI Semibold"/>
      <family val="2"/>
    </font>
    <font>
      <b/>
      <i/>
      <sz val="11"/>
      <color rgb="FFFFFF00"/>
      <name val="Segoe UI Semibold"/>
      <family val="2"/>
    </font>
    <font>
      <b/>
      <u/>
      <sz val="10"/>
      <color theme="0"/>
      <name val="Arial"/>
      <family val="2"/>
    </font>
    <font>
      <sz val="10"/>
      <color theme="0"/>
      <name val="Arial"/>
      <family val="2"/>
    </font>
    <font>
      <sz val="9"/>
      <color theme="3" tint="0.39997558519241921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theme="4"/>
      <name val="Arial"/>
      <family val="2"/>
    </font>
    <font>
      <vertAlign val="superscript"/>
      <sz val="10"/>
      <color theme="0"/>
      <name val="Arial"/>
      <family val="2"/>
    </font>
    <font>
      <sz val="10"/>
      <name val="Segoe UI Semibold"/>
      <family val="2"/>
    </font>
    <font>
      <sz val="9"/>
      <name val="Arial"/>
      <family val="2"/>
    </font>
    <font>
      <sz val="11"/>
      <name val="Segoe UI Semibold"/>
      <family val="2"/>
    </font>
    <font>
      <b/>
      <sz val="10"/>
      <color rgb="FF0072BC"/>
      <name val="Calibri"/>
      <family val="2"/>
      <scheme val="minor"/>
    </font>
    <font>
      <b/>
      <sz val="11"/>
      <color rgb="FF0072BC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8C5F"/>
        <bgColor indexed="64"/>
      </patternFill>
    </fill>
  </fills>
  <borders count="2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indexed="10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10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 style="thin">
        <color indexed="64"/>
      </top>
      <bottom/>
      <diagonal/>
    </border>
    <border>
      <left/>
      <right style="thin">
        <color rgb="FFFFFF00"/>
      </right>
      <top style="thin">
        <color indexed="64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/>
      <right style="thin">
        <color rgb="FFFFFF00"/>
      </right>
      <top/>
      <bottom style="thin">
        <color indexed="64"/>
      </bottom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medium">
        <color indexed="64"/>
      </top>
      <bottom style="thin">
        <color rgb="FFFFFF00"/>
      </bottom>
      <diagonal/>
    </border>
    <border>
      <left style="thin">
        <color rgb="FFFFFF00"/>
      </left>
      <right/>
      <top/>
      <bottom style="medium">
        <color indexed="64"/>
      </bottom>
      <diagonal/>
    </border>
    <border>
      <left/>
      <right style="thin">
        <color rgb="FFFFFF00"/>
      </right>
      <top/>
      <bottom style="medium">
        <color indexed="64"/>
      </bottom>
      <diagonal/>
    </border>
    <border>
      <left style="thin">
        <color indexed="64"/>
      </left>
      <right/>
      <top style="thin">
        <color rgb="FFFFFF00"/>
      </top>
      <bottom/>
      <diagonal/>
    </border>
    <border>
      <left style="thin">
        <color indexed="64"/>
      </left>
      <right/>
      <top/>
      <bottom style="thin">
        <color rgb="FFFFFF00"/>
      </bottom>
      <diagonal/>
    </border>
    <border>
      <left/>
      <right style="thin">
        <color indexed="64"/>
      </right>
      <top style="thin">
        <color rgb="FFFFFF00"/>
      </top>
      <bottom/>
      <diagonal/>
    </border>
    <border>
      <left/>
      <right style="thin">
        <color indexed="64"/>
      </right>
      <top/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indexed="64"/>
      </bottom>
      <diagonal/>
    </border>
    <border>
      <left/>
      <right/>
      <top style="thin">
        <color rgb="FFFFFF00"/>
      </top>
      <bottom style="thin">
        <color indexed="64"/>
      </bottom>
      <diagonal/>
    </border>
    <border>
      <left style="thin">
        <color rgb="FFFFFF00"/>
      </left>
      <right/>
      <top style="thin">
        <color indexed="64"/>
      </top>
      <bottom style="thin">
        <color rgb="FFFFFF00"/>
      </bottom>
      <diagonal/>
    </border>
    <border>
      <left/>
      <right/>
      <top style="thin">
        <color indexed="64"/>
      </top>
      <bottom style="thin">
        <color rgb="FFFFFF00"/>
      </bottom>
      <diagonal/>
    </border>
    <border>
      <left style="thin">
        <color rgb="FFFFFF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/>
      <bottom style="hair">
        <color indexed="64"/>
      </bottom>
      <diagonal/>
    </border>
    <border>
      <left style="thin">
        <color indexed="64"/>
      </left>
      <right style="thin">
        <color rgb="FFFFFF00"/>
      </right>
      <top style="hair">
        <color indexed="64"/>
      </top>
      <bottom style="hair">
        <color indexed="64"/>
      </bottom>
      <diagonal/>
    </border>
    <border>
      <left/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indexed="64"/>
      </left>
      <right style="thin">
        <color rgb="FFFFFF00"/>
      </right>
      <top style="hair">
        <color indexed="64"/>
      </top>
      <bottom/>
      <diagonal/>
    </border>
    <border>
      <left style="thin">
        <color rgb="FFFFFF00"/>
      </left>
      <right style="thin">
        <color indexed="64"/>
      </right>
      <top style="thin">
        <color rgb="FFFFFF00"/>
      </top>
      <bottom style="thin">
        <color rgb="FFFFFF00"/>
      </bottom>
      <diagonal/>
    </border>
    <border>
      <left/>
      <right/>
      <top/>
      <bottom style="dotted">
        <color theme="0" tint="-0.14999847407452621"/>
      </bottom>
      <diagonal/>
    </border>
    <border>
      <left style="dotted">
        <color theme="0" tint="-0.14999847407452621"/>
      </left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/>
      <top style="dotted">
        <color theme="0" tint="-0.14999847407452621"/>
      </top>
      <bottom style="dotted">
        <color theme="0" tint="-0.14999847407452621"/>
      </bottom>
      <diagonal/>
    </border>
    <border>
      <left/>
      <right/>
      <top style="dotted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/>
      <right/>
      <top style="dotted">
        <color theme="0" tint="-0.14999847407452621"/>
      </top>
      <bottom/>
      <diagonal/>
    </border>
    <border>
      <left style="thin">
        <color theme="0"/>
      </left>
      <right/>
      <top style="dotted">
        <color theme="0" tint="-0.14999847407452621"/>
      </top>
      <bottom style="thin">
        <color theme="0"/>
      </bottom>
      <diagonal/>
    </border>
    <border>
      <left/>
      <right/>
      <top style="dotted">
        <color theme="0" tint="-0.14999847407452621"/>
      </top>
      <bottom style="thin">
        <color theme="0"/>
      </bottom>
      <diagonal/>
    </border>
    <border>
      <left style="dotted">
        <color theme="0" tint="-0.14999847407452621"/>
      </left>
      <right/>
      <top/>
      <bottom/>
      <diagonal/>
    </border>
    <border>
      <left style="dotted">
        <color theme="0" tint="-0.14999847407452621"/>
      </left>
      <right/>
      <top/>
      <bottom style="dotted">
        <color theme="0" tint="-0.14999847407452621"/>
      </bottom>
      <diagonal/>
    </border>
    <border>
      <left/>
      <right style="dotted">
        <color theme="0" tint="-0.14999847407452621"/>
      </right>
      <top/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/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/>
      <diagonal/>
    </border>
    <border>
      <left style="dotted">
        <color theme="0" tint="-0.14999847407452621"/>
      </left>
      <right/>
      <top style="dotted">
        <color theme="0" tint="-0.14999847407452621"/>
      </top>
      <bottom style="thin">
        <color indexed="64"/>
      </bottom>
      <diagonal/>
    </border>
    <border>
      <left style="dotted">
        <color theme="0" tint="-0.14999847407452621"/>
      </left>
      <right style="thin">
        <color indexed="64"/>
      </right>
      <top style="dotted">
        <color theme="0" tint="-0.14999847407452621"/>
      </top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 style="dotted">
        <color theme="0" tint="-0.14999847407452621"/>
      </top>
      <bottom style="hair">
        <color indexed="64"/>
      </bottom>
      <diagonal/>
    </border>
    <border>
      <left style="dotted">
        <color theme="0" tint="-0.1499984740745262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/>
      <bottom style="hair">
        <color indexed="64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 style="hair">
        <color indexed="64"/>
      </bottom>
      <diagonal/>
    </border>
    <border>
      <left style="dotted">
        <color theme="0" tint="-0.14999847407452621"/>
      </left>
      <right/>
      <top style="hair">
        <color indexed="64"/>
      </top>
      <bottom style="hair">
        <color indexed="64"/>
      </bottom>
      <diagonal/>
    </border>
    <border>
      <left/>
      <right style="dotted">
        <color theme="0" tint="-0.14999847407452621"/>
      </right>
      <top style="hair">
        <color indexed="64"/>
      </top>
      <bottom style="hair">
        <color indexed="64"/>
      </bottom>
      <diagonal/>
    </border>
    <border>
      <left/>
      <right style="dotted">
        <color theme="0" tint="-0.14999847407452621"/>
      </right>
      <top style="hair">
        <color indexed="64"/>
      </top>
      <bottom style="dotted">
        <color theme="0" tint="-0.14999847407452621"/>
      </bottom>
      <diagonal/>
    </border>
    <border>
      <left/>
      <right style="thin">
        <color indexed="64"/>
      </right>
      <top style="dotted">
        <color theme="0" tint="-0.14999847407452621"/>
      </top>
      <bottom style="hair">
        <color indexed="64"/>
      </bottom>
      <diagonal/>
    </border>
    <border>
      <left/>
      <right/>
      <top style="hair">
        <color indexed="64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 style="dotted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0" tint="-0.14999847407452621"/>
      </left>
      <right/>
      <top style="dotted">
        <color theme="0" tint="-0.14999847407452621"/>
      </top>
      <bottom style="hair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hair">
        <color indexed="64"/>
      </bottom>
      <diagonal/>
    </border>
    <border>
      <left/>
      <right style="thin">
        <color indexed="64"/>
      </right>
      <top style="dotted">
        <color theme="0" tint="-0.14999847407452621"/>
      </top>
      <bottom style="dotted">
        <color theme="0" tint="-0.14999847407452621"/>
      </bottom>
      <diagonal/>
    </border>
    <border>
      <left style="thin">
        <color indexed="64"/>
      </left>
      <right style="dotted">
        <color theme="0" tint="-0.14999847407452621"/>
      </right>
      <top/>
      <bottom style="thin">
        <color rgb="FFFFFF00"/>
      </bottom>
      <diagonal/>
    </border>
    <border>
      <left style="dotted">
        <color theme="0" tint="-0.1499984740745262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theme="0" tint="-0.14999847407452621"/>
      </right>
      <top style="hair">
        <color indexed="64"/>
      </top>
      <bottom/>
      <diagonal/>
    </border>
    <border>
      <left style="dotted">
        <color theme="0" tint="-0.14999847407452621"/>
      </left>
      <right/>
      <top style="hair">
        <color indexed="64"/>
      </top>
      <bottom style="thin">
        <color rgb="FFFFFF00"/>
      </bottom>
      <diagonal/>
    </border>
    <border>
      <left/>
      <right style="dotted">
        <color theme="0" tint="-0.14999847407452621"/>
      </right>
      <top style="hair">
        <color indexed="64"/>
      </top>
      <bottom style="thin">
        <color rgb="FFFFFF00"/>
      </bottom>
      <diagonal/>
    </border>
    <border>
      <left/>
      <right style="dotted">
        <color theme="0" tint="-0.14999847407452621"/>
      </right>
      <top/>
      <bottom style="hair">
        <color indexed="64"/>
      </bottom>
      <diagonal/>
    </border>
    <border>
      <left/>
      <right style="dotted">
        <color theme="0" tint="-0.14999847407452621"/>
      </right>
      <top style="thin">
        <color rgb="FFFFFF00"/>
      </top>
      <bottom/>
      <diagonal/>
    </border>
    <border>
      <left/>
      <right style="dotted">
        <color theme="0" tint="-0.14999847407452621"/>
      </right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 style="dotted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hair">
        <color indexed="64"/>
      </top>
      <bottom/>
      <diagonal/>
    </border>
    <border>
      <left style="dotted">
        <color theme="0" tint="-0.14999847407452621"/>
      </left>
      <right/>
      <top style="dotted">
        <color theme="0" tint="-0.14999847407452621"/>
      </top>
      <bottom style="medium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medium">
        <color indexed="64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thin">
        <color indexed="64"/>
      </bottom>
      <diagonal/>
    </border>
    <border>
      <left style="dotted">
        <color theme="0" tint="-0.14999847407452621"/>
      </left>
      <right/>
      <top style="thin">
        <color indexed="64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thin">
        <color indexed="64"/>
      </top>
      <bottom style="dotted">
        <color theme="0" tint="-0.14999847407452621"/>
      </bottom>
      <diagonal/>
    </border>
    <border>
      <left/>
      <right style="slantDashDot">
        <color theme="0" tint="-4.9989318521683403E-2"/>
      </right>
      <top/>
      <bottom style="slantDashDot">
        <color theme="0" tint="-4.9989318521683403E-2"/>
      </bottom>
      <diagonal/>
    </border>
    <border>
      <left/>
      <right style="thin">
        <color indexed="64"/>
      </right>
      <top/>
      <bottom style="slantDashDot">
        <color theme="0" tint="-4.9989318521683403E-2"/>
      </bottom>
      <diagonal/>
    </border>
    <border>
      <left style="thin">
        <color indexed="64"/>
      </left>
      <right style="slantDashDot">
        <color theme="0" tint="-4.9989318521683403E-2"/>
      </right>
      <top/>
      <bottom style="slantDashDot">
        <color theme="0" tint="-4.9989318521683403E-2"/>
      </bottom>
      <diagonal/>
    </border>
    <border>
      <left/>
      <right/>
      <top/>
      <bottom style="slantDashDot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 style="thin">
        <color indexed="64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rgb="FFFFFF00"/>
      </right>
      <top/>
      <bottom/>
      <diagonal/>
    </border>
    <border>
      <left style="thin">
        <color indexed="64"/>
      </left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hair">
        <color indexed="64"/>
      </top>
      <bottom style="hair">
        <color indexed="64"/>
      </bottom>
      <diagonal/>
    </border>
    <border>
      <left style="dotted">
        <color theme="0" tint="-0.14999847407452621"/>
      </left>
      <right/>
      <top/>
      <bottom style="hair">
        <color indexed="64"/>
      </bottom>
      <diagonal/>
    </border>
    <border>
      <left/>
      <right style="thin">
        <color rgb="FFFFFF00"/>
      </right>
      <top/>
      <bottom style="hair">
        <color indexed="64"/>
      </bottom>
      <diagonal/>
    </border>
    <border>
      <left/>
      <right style="thin">
        <color rgb="FFFFFF00"/>
      </right>
      <top style="dotted">
        <color theme="0" tint="-0.14999847407452621"/>
      </top>
      <bottom style="hair">
        <color indexed="64"/>
      </bottom>
      <diagonal/>
    </border>
    <border>
      <left/>
      <right style="dotted">
        <color theme="0" tint="-0.14999847407452621"/>
      </right>
      <top style="thin">
        <color rgb="FFFFFF00"/>
      </top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rgb="FFFFFF00"/>
      </top>
      <bottom/>
      <diagonal/>
    </border>
    <border>
      <left style="thin">
        <color indexed="64"/>
      </left>
      <right style="thin">
        <color rgb="FFFFFF00"/>
      </right>
      <top style="thin">
        <color rgb="FFFFFF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indexed="64"/>
      </top>
      <bottom style="thin">
        <color rgb="FFFFFF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FFFF00"/>
      </top>
      <bottom style="dotted">
        <color theme="0" tint="-0.14999847407452621"/>
      </bottom>
      <diagonal/>
    </border>
  </borders>
  <cellStyleXfs count="6">
    <xf numFmtId="0" fontId="0" fillId="0" borderId="0"/>
    <xf numFmtId="14" fontId="1" fillId="2" borderId="1"/>
    <xf numFmtId="164" fontId="1" fillId="2" borderId="1"/>
    <xf numFmtId="0" fontId="1" fillId="2" borderId="2"/>
    <xf numFmtId="165" fontId="1" fillId="2" borderId="1"/>
    <xf numFmtId="0" fontId="25" fillId="0" borderId="0" applyNumberFormat="0" applyFill="0" applyBorder="0" applyAlignment="0" applyProtection="0"/>
  </cellStyleXfs>
  <cellXfs count="1274">
    <xf numFmtId="0" fontId="0" fillId="0" borderId="0" xfId="0"/>
    <xf numFmtId="0" fontId="2" fillId="0" borderId="0" xfId="0" applyFont="1"/>
    <xf numFmtId="0" fontId="2" fillId="0" borderId="0" xfId="0" applyFont="1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10" fillId="0" borderId="0" xfId="0" applyFont="1"/>
    <xf numFmtId="0" fontId="11" fillId="0" borderId="0" xfId="0" applyFont="1" applyAlignment="1">
      <alignment vertical="center"/>
    </xf>
    <xf numFmtId="49" fontId="4" fillId="0" borderId="0" xfId="0" applyNumberFormat="1" applyFont="1" applyAlignment="1">
      <alignment horizontal="center"/>
    </xf>
    <xf numFmtId="0" fontId="2" fillId="0" borderId="70" xfId="0" applyFont="1" applyBorder="1"/>
    <xf numFmtId="0" fontId="2" fillId="0" borderId="70" xfId="0" applyFont="1" applyBorder="1" applyAlignment="1">
      <alignment horizontal="right"/>
    </xf>
    <xf numFmtId="0" fontId="2" fillId="0" borderId="70" xfId="0" applyFont="1" applyBorder="1" applyProtection="1">
      <protection hidden="1"/>
    </xf>
    <xf numFmtId="0" fontId="2" fillId="0" borderId="9" xfId="0" applyFont="1" applyBorder="1" applyProtection="1">
      <protection hidden="1"/>
    </xf>
    <xf numFmtId="0" fontId="2" fillId="0" borderId="21" xfId="0" applyFont="1" applyBorder="1"/>
    <xf numFmtId="0" fontId="2" fillId="0" borderId="21" xfId="0" applyFont="1" applyBorder="1" applyAlignment="1">
      <alignment horizontal="right"/>
    </xf>
    <xf numFmtId="0" fontId="2" fillId="0" borderId="21" xfId="0" applyFont="1" applyBorder="1" applyProtection="1">
      <protection hidden="1"/>
    </xf>
    <xf numFmtId="0" fontId="2" fillId="0" borderId="13" xfId="0" applyFont="1" applyBorder="1" applyProtection="1">
      <protection hidden="1"/>
    </xf>
    <xf numFmtId="0" fontId="2" fillId="0" borderId="44" xfId="0" applyFont="1" applyBorder="1" applyAlignment="1">
      <alignment horizontal="right"/>
    </xf>
    <xf numFmtId="0" fontId="2" fillId="0" borderId="44" xfId="0" applyFont="1" applyBorder="1" applyAlignment="1" applyProtection="1">
      <alignment horizontal="center"/>
      <protection hidden="1"/>
    </xf>
    <xf numFmtId="0" fontId="2" fillId="0" borderId="21" xfId="0" applyFont="1" applyBorder="1" applyAlignment="1" applyProtection="1">
      <alignment horizontal="center"/>
      <protection hidden="1"/>
    </xf>
    <xf numFmtId="0" fontId="0" fillId="0" borderId="40" xfId="0" applyBorder="1"/>
    <xf numFmtId="0" fontId="0" fillId="0" borderId="20" xfId="0" applyBorder="1"/>
    <xf numFmtId="0" fontId="3" fillId="0" borderId="0" xfId="0" applyFont="1" applyAlignment="1" applyProtection="1">
      <alignment horizontal="left"/>
      <protection hidden="1"/>
    </xf>
    <xf numFmtId="14" fontId="3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72" xfId="0" applyFont="1" applyBorder="1" applyAlignment="1">
      <alignment horizontal="center"/>
    </xf>
    <xf numFmtId="0" fontId="2" fillId="0" borderId="75" xfId="0" applyFont="1" applyBorder="1"/>
    <xf numFmtId="0" fontId="2" fillId="0" borderId="75" xfId="0" applyFont="1" applyBorder="1" applyAlignment="1">
      <alignment horizontal="right"/>
    </xf>
    <xf numFmtId="0" fontId="2" fillId="0" borderId="76" xfId="0" applyFont="1" applyBorder="1"/>
    <xf numFmtId="0" fontId="2" fillId="0" borderId="77" xfId="0" applyFont="1" applyBorder="1" applyAlignment="1">
      <alignment horizontal="center"/>
    </xf>
    <xf numFmtId="0" fontId="2" fillId="0" borderId="75" xfId="0" applyFont="1" applyBorder="1" applyProtection="1">
      <protection hidden="1"/>
    </xf>
    <xf numFmtId="4" fontId="2" fillId="0" borderId="75" xfId="0" applyNumberFormat="1" applyFont="1" applyBorder="1" applyProtection="1">
      <protection hidden="1"/>
    </xf>
    <xf numFmtId="0" fontId="2" fillId="0" borderId="76" xfId="0" applyFont="1" applyBorder="1" applyProtection="1">
      <protection hidden="1"/>
    </xf>
    <xf numFmtId="0" fontId="2" fillId="0" borderId="78" xfId="0" applyFont="1" applyBorder="1" applyProtection="1">
      <protection hidden="1"/>
    </xf>
    <xf numFmtId="0" fontId="2" fillId="0" borderId="79" xfId="0" applyFont="1" applyBorder="1" applyProtection="1">
      <protection hidden="1"/>
    </xf>
    <xf numFmtId="0" fontId="2" fillId="0" borderId="13" xfId="0" applyFont="1" applyBorder="1"/>
    <xf numFmtId="0" fontId="2" fillId="0" borderId="14" xfId="0" applyFont="1" applyBorder="1" applyAlignment="1">
      <alignment horizontal="center"/>
    </xf>
    <xf numFmtId="4" fontId="2" fillId="0" borderId="21" xfId="0" applyNumberFormat="1" applyFont="1" applyBorder="1" applyProtection="1">
      <protection hidden="1"/>
    </xf>
    <xf numFmtId="0" fontId="2" fillId="0" borderId="12" xfId="0" applyFont="1" applyBorder="1" applyProtection="1">
      <protection hidden="1"/>
    </xf>
    <xf numFmtId="0" fontId="2" fillId="0" borderId="15" xfId="0" applyFont="1" applyBorder="1" applyProtection="1">
      <protection hidden="1"/>
    </xf>
    <xf numFmtId="0" fontId="2" fillId="0" borderId="71" xfId="0" applyFont="1" applyBorder="1"/>
    <xf numFmtId="0" fontId="2" fillId="0" borderId="7" xfId="0" applyFont="1" applyBorder="1" applyAlignment="1">
      <alignment horizontal="center"/>
    </xf>
    <xf numFmtId="0" fontId="2" fillId="0" borderId="44" xfId="0" applyFont="1" applyBorder="1" applyProtection="1">
      <protection hidden="1"/>
    </xf>
    <xf numFmtId="4" fontId="2" fillId="0" borderId="44" xfId="0" applyNumberFormat="1" applyFont="1" applyBorder="1" applyProtection="1">
      <protection hidden="1"/>
    </xf>
    <xf numFmtId="0" fontId="2" fillId="0" borderId="71" xfId="0" applyFont="1" applyBorder="1" applyProtection="1">
      <protection hidden="1"/>
    </xf>
    <xf numFmtId="0" fontId="2" fillId="0" borderId="10" xfId="0" applyFont="1" applyBorder="1" applyProtection="1">
      <protection hidden="1"/>
    </xf>
    <xf numFmtId="0" fontId="2" fillId="0" borderId="11" xfId="0" applyFont="1" applyBorder="1" applyProtection="1">
      <protection hidden="1"/>
    </xf>
    <xf numFmtId="0" fontId="2" fillId="0" borderId="41" xfId="0" applyFont="1" applyBorder="1"/>
    <xf numFmtId="0" fontId="2" fillId="0" borderId="41" xfId="0" applyFont="1" applyBorder="1" applyAlignment="1">
      <alignment horizontal="right"/>
    </xf>
    <xf numFmtId="0" fontId="2" fillId="0" borderId="25" xfId="0" applyFont="1" applyBorder="1"/>
    <xf numFmtId="0" fontId="2" fillId="0" borderId="23" xfId="0" applyFont="1" applyBorder="1" applyAlignment="1">
      <alignment horizontal="center"/>
    </xf>
    <xf numFmtId="0" fontId="2" fillId="0" borderId="41" xfId="0" applyFont="1" applyBorder="1" applyProtection="1">
      <protection hidden="1"/>
    </xf>
    <xf numFmtId="4" fontId="2" fillId="0" borderId="41" xfId="0" applyNumberFormat="1" applyFont="1" applyBorder="1" applyProtection="1">
      <protection hidden="1"/>
    </xf>
    <xf numFmtId="0" fontId="2" fillId="0" borderId="25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2" fillId="0" borderId="42" xfId="0" applyFont="1" applyBorder="1" applyProtection="1">
      <protection hidden="1"/>
    </xf>
    <xf numFmtId="0" fontId="2" fillId="0" borderId="82" xfId="0" applyFont="1" applyBorder="1" applyAlignment="1">
      <alignment horizontal="center"/>
    </xf>
    <xf numFmtId="4" fontId="2" fillId="0" borderId="70" xfId="0" applyNumberFormat="1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2" fillId="0" borderId="83" xfId="0" applyFont="1" applyBorder="1" applyProtection="1">
      <protection hidden="1"/>
    </xf>
    <xf numFmtId="0" fontId="2" fillId="0" borderId="9" xfId="0" applyFont="1" applyBorder="1"/>
    <xf numFmtId="0" fontId="2" fillId="0" borderId="12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2" fillId="0" borderId="84" xfId="0" applyFont="1" applyBorder="1"/>
    <xf numFmtId="0" fontId="2" fillId="0" borderId="44" xfId="0" applyFont="1" applyBorder="1"/>
    <xf numFmtId="0" fontId="2" fillId="0" borderId="84" xfId="0" applyFont="1" applyBorder="1" applyAlignment="1">
      <alignment horizontal="right"/>
    </xf>
    <xf numFmtId="0" fontId="2" fillId="0" borderId="85" xfId="0" applyFont="1" applyBorder="1"/>
    <xf numFmtId="0" fontId="2" fillId="0" borderId="85" xfId="0" applyFont="1" applyBorder="1" applyAlignment="1">
      <alignment horizontal="right"/>
    </xf>
    <xf numFmtId="0" fontId="6" fillId="0" borderId="86" xfId="0" applyFont="1" applyBorder="1"/>
    <xf numFmtId="0" fontId="6" fillId="0" borderId="41" xfId="0" applyFont="1" applyBorder="1"/>
    <xf numFmtId="0" fontId="2" fillId="0" borderId="86" xfId="0" applyFont="1" applyBorder="1" applyAlignment="1">
      <alignment horizontal="right"/>
    </xf>
    <xf numFmtId="0" fontId="3" fillId="0" borderId="84" xfId="0" applyFont="1" applyBorder="1"/>
    <xf numFmtId="0" fontId="3" fillId="0" borderId="44" xfId="0" applyFont="1" applyBorder="1"/>
    <xf numFmtId="0" fontId="3" fillId="0" borderId="85" xfId="0" applyFont="1" applyBorder="1"/>
    <xf numFmtId="0" fontId="3" fillId="0" borderId="21" xfId="0" applyFont="1" applyBorder="1"/>
    <xf numFmtId="170" fontId="2" fillId="0" borderId="21" xfId="0" applyNumberFormat="1" applyFont="1" applyBorder="1" applyProtection="1">
      <protection hidden="1"/>
    </xf>
    <xf numFmtId="169" fontId="2" fillId="0" borderId="21" xfId="0" applyNumberFormat="1" applyFont="1" applyBorder="1" applyProtection="1">
      <protection hidden="1"/>
    </xf>
    <xf numFmtId="0" fontId="3" fillId="0" borderId="87" xfId="0" applyFont="1" applyBorder="1"/>
    <xf numFmtId="0" fontId="3" fillId="0" borderId="27" xfId="0" applyFont="1" applyBorder="1"/>
    <xf numFmtId="0" fontId="2" fillId="0" borderId="27" xfId="0" applyFont="1" applyBorder="1"/>
    <xf numFmtId="0" fontId="2" fillId="0" borderId="87" xfId="0" applyFont="1" applyBorder="1" applyAlignment="1">
      <alignment horizontal="right"/>
    </xf>
    <xf numFmtId="0" fontId="2" fillId="0" borderId="28" xfId="0" applyFont="1" applyBorder="1"/>
    <xf numFmtId="0" fontId="2" fillId="0" borderId="26" xfId="0" applyFont="1" applyBorder="1" applyAlignment="1">
      <alignment horizontal="center"/>
    </xf>
    <xf numFmtId="0" fontId="2" fillId="0" borderId="27" xfId="0" applyFont="1" applyBorder="1" applyProtection="1">
      <protection hidden="1"/>
    </xf>
    <xf numFmtId="0" fontId="2" fillId="0" borderId="28" xfId="0" applyFont="1" applyBorder="1" applyProtection="1">
      <protection hidden="1"/>
    </xf>
    <xf numFmtId="0" fontId="2" fillId="0" borderId="29" xfId="0" applyFont="1" applyBorder="1" applyProtection="1">
      <protection hidden="1"/>
    </xf>
    <xf numFmtId="169" fontId="2" fillId="0" borderId="27" xfId="0" applyNumberFormat="1" applyFont="1" applyBorder="1" applyProtection="1">
      <protection hidden="1"/>
    </xf>
    <xf numFmtId="0" fontId="2" fillId="0" borderId="30" xfId="0" applyFont="1" applyBorder="1" applyProtection="1">
      <protection hidden="1"/>
    </xf>
    <xf numFmtId="0" fontId="0" fillId="0" borderId="0" xfId="0" applyProtection="1">
      <protection hidden="1"/>
    </xf>
    <xf numFmtId="0" fontId="0" fillId="0" borderId="17" xfId="0" applyBorder="1"/>
    <xf numFmtId="0" fontId="0" fillId="0" borderId="22" xfId="0" applyBorder="1"/>
    <xf numFmtId="0" fontId="0" fillId="0" borderId="18" xfId="0" applyBorder="1"/>
    <xf numFmtId="0" fontId="0" fillId="0" borderId="35" xfId="0" applyBorder="1" applyProtection="1">
      <protection hidden="1"/>
    </xf>
    <xf numFmtId="166" fontId="4" fillId="0" borderId="0" xfId="0" applyNumberFormat="1" applyFont="1" applyProtection="1">
      <protection hidden="1"/>
    </xf>
    <xf numFmtId="0" fontId="0" fillId="0" borderId="19" xfId="0" applyBorder="1"/>
    <xf numFmtId="0" fontId="6" fillId="0" borderId="0" xfId="0" applyFont="1" applyAlignment="1" applyProtection="1">
      <alignment horizontal="right" vertical="center"/>
      <protection hidden="1"/>
    </xf>
    <xf numFmtId="0" fontId="12" fillId="0" borderId="0" xfId="0" applyFont="1" applyAlignment="1">
      <alignment horizontal="left" wrapText="1"/>
    </xf>
    <xf numFmtId="0" fontId="3" fillId="0" borderId="0" xfId="0" applyFont="1" applyAlignment="1" applyProtection="1">
      <alignment horizontal="left" vertical="top" wrapText="1"/>
      <protection hidden="1"/>
    </xf>
    <xf numFmtId="0" fontId="13" fillId="0" borderId="0" xfId="0" applyFont="1" applyAlignment="1">
      <alignment vertical="justify" wrapText="1"/>
    </xf>
    <xf numFmtId="0" fontId="14" fillId="0" borderId="0" xfId="0" applyFont="1" applyAlignment="1">
      <alignment horizontal="right"/>
    </xf>
    <xf numFmtId="0" fontId="9" fillId="0" borderId="0" xfId="0" applyFont="1"/>
    <xf numFmtId="0" fontId="8" fillId="0" borderId="0" xfId="0" applyFont="1"/>
    <xf numFmtId="0" fontId="13" fillId="0" borderId="0" xfId="0" applyFont="1" applyAlignment="1" applyProtection="1">
      <alignment vertical="justify" wrapText="1"/>
      <protection locked="0"/>
    </xf>
    <xf numFmtId="0" fontId="12" fillId="0" borderId="0" xfId="0" applyFont="1" applyAlignment="1">
      <alignment horizontal="left"/>
    </xf>
    <xf numFmtId="0" fontId="6" fillId="0" borderId="0" xfId="0" applyFont="1"/>
    <xf numFmtId="0" fontId="15" fillId="0" borderId="0" xfId="0" applyFont="1"/>
    <xf numFmtId="0" fontId="16" fillId="0" borderId="0" xfId="0" applyFont="1" applyAlignment="1">
      <alignment horizontal="right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0" fillId="0" borderId="21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41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70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4" fontId="0" fillId="0" borderId="21" xfId="0" applyNumberFormat="1" applyBorder="1" applyProtection="1">
      <protection hidden="1"/>
    </xf>
    <xf numFmtId="169" fontId="0" fillId="0" borderId="70" xfId="0" applyNumberFormat="1" applyBorder="1" applyProtection="1">
      <protection hidden="1"/>
    </xf>
    <xf numFmtId="0" fontId="0" fillId="0" borderId="70" xfId="0" applyBorder="1" applyProtection="1">
      <protection hidden="1"/>
    </xf>
    <xf numFmtId="169" fontId="0" fillId="0" borderId="21" xfId="0" applyNumberFormat="1" applyBorder="1" applyProtection="1">
      <protection hidden="1"/>
    </xf>
    <xf numFmtId="169" fontId="0" fillId="0" borderId="13" xfId="0" applyNumberFormat="1" applyBorder="1" applyProtection="1">
      <protection hidden="1"/>
    </xf>
    <xf numFmtId="169" fontId="0" fillId="0" borderId="41" xfId="0" applyNumberFormat="1" applyBorder="1" applyProtection="1">
      <protection hidden="1"/>
    </xf>
    <xf numFmtId="0" fontId="0" fillId="0" borderId="71" xfId="0" applyBorder="1" applyProtection="1">
      <protection hidden="1"/>
    </xf>
    <xf numFmtId="169" fontId="0" fillId="0" borderId="8" xfId="0" applyNumberFormat="1" applyBorder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0" fillId="0" borderId="21" xfId="0" applyBorder="1" applyAlignment="1">
      <alignment shrinkToFit="1"/>
    </xf>
    <xf numFmtId="0" fontId="2" fillId="0" borderId="0" xfId="0" applyFont="1" applyBorder="1"/>
    <xf numFmtId="3" fontId="0" fillId="0" borderId="70" xfId="0" applyNumberFormat="1" applyBorder="1" applyAlignment="1" applyProtection="1">
      <alignment horizontal="center"/>
      <protection hidden="1"/>
    </xf>
    <xf numFmtId="3" fontId="0" fillId="0" borderId="21" xfId="0" applyNumberFormat="1" applyBorder="1" applyAlignment="1" applyProtection="1">
      <alignment horizontal="center"/>
      <protection hidden="1"/>
    </xf>
    <xf numFmtId="0" fontId="25" fillId="0" borderId="0" xfId="5" applyProtection="1">
      <protection locked="0"/>
    </xf>
    <xf numFmtId="0" fontId="25" fillId="0" borderId="0" xfId="5" applyProtection="1">
      <protection hidden="1"/>
    </xf>
    <xf numFmtId="0" fontId="41" fillId="3" borderId="169" xfId="0" applyFont="1" applyFill="1" applyBorder="1" applyAlignment="1" applyProtection="1">
      <alignment horizontal="center"/>
      <protection locked="0"/>
    </xf>
    <xf numFmtId="0" fontId="2" fillId="0" borderId="110" xfId="0" applyFont="1" applyBorder="1"/>
    <xf numFmtId="0" fontId="2" fillId="0" borderId="52" xfId="0" applyFont="1" applyBorder="1"/>
    <xf numFmtId="169" fontId="2" fillId="0" borderId="0" xfId="0" applyNumberFormat="1" applyFont="1" applyBorder="1"/>
    <xf numFmtId="0" fontId="2" fillId="0" borderId="37" xfId="0" applyFont="1" applyBorder="1"/>
    <xf numFmtId="0" fontId="2" fillId="0" borderId="54" xfId="0" applyFont="1" applyBorder="1"/>
    <xf numFmtId="14" fontId="2" fillId="0" borderId="54" xfId="0" applyNumberFormat="1" applyFont="1" applyBorder="1"/>
    <xf numFmtId="0" fontId="2" fillId="0" borderId="38" xfId="0" applyFont="1" applyBorder="1"/>
    <xf numFmtId="0" fontId="2" fillId="0" borderId="39" xfId="0" applyFont="1" applyBorder="1"/>
    <xf numFmtId="14" fontId="2" fillId="0" borderId="52" xfId="0" applyNumberFormat="1" applyFont="1" applyBorder="1"/>
    <xf numFmtId="0" fontId="2" fillId="0" borderId="246" xfId="0" applyFont="1" applyBorder="1"/>
    <xf numFmtId="0" fontId="3" fillId="0" borderId="37" xfId="0" applyFont="1" applyBorder="1" applyAlignment="1" applyProtection="1">
      <alignment horizontal="left"/>
      <protection hidden="1"/>
    </xf>
    <xf numFmtId="0" fontId="3" fillId="0" borderId="54" xfId="0" applyFont="1" applyBorder="1" applyAlignment="1" applyProtection="1">
      <alignment horizontal="left"/>
      <protection hidden="1"/>
    </xf>
    <xf numFmtId="0" fontId="0" fillId="0" borderId="54" xfId="0" applyBorder="1"/>
    <xf numFmtId="14" fontId="3" fillId="0" borderId="54" xfId="0" applyNumberFormat="1" applyFont="1" applyBorder="1" applyAlignment="1" applyProtection="1">
      <alignment horizontal="center"/>
      <protection hidden="1"/>
    </xf>
    <xf numFmtId="0" fontId="3" fillId="0" borderId="54" xfId="0" applyFont="1" applyBorder="1" applyAlignment="1" applyProtection="1">
      <alignment horizontal="center"/>
      <protection hidden="1"/>
    </xf>
    <xf numFmtId="0" fontId="0" fillId="0" borderId="38" xfId="0" applyBorder="1"/>
    <xf numFmtId="0" fontId="6" fillId="0" borderId="39" xfId="0" applyFont="1" applyBorder="1"/>
    <xf numFmtId="0" fontId="3" fillId="0" borderId="52" xfId="0" applyFont="1" applyBorder="1"/>
    <xf numFmtId="0" fontId="0" fillId="0" borderId="52" xfId="0" applyBorder="1"/>
    <xf numFmtId="0" fontId="0" fillId="0" borderId="246" xfId="0" applyBorder="1"/>
    <xf numFmtId="3" fontId="54" fillId="3" borderId="169" xfId="0" applyNumberFormat="1" applyFont="1" applyFill="1" applyBorder="1" applyAlignment="1" applyProtection="1">
      <alignment horizontal="center"/>
      <protection hidden="1"/>
    </xf>
    <xf numFmtId="3" fontId="54" fillId="3" borderId="209" xfId="0" applyNumberFormat="1" applyFont="1" applyFill="1" applyBorder="1" applyAlignment="1" applyProtection="1">
      <alignment horizontal="center"/>
      <protection hidden="1"/>
    </xf>
    <xf numFmtId="169" fontId="28" fillId="3" borderId="0" xfId="0" applyNumberFormat="1" applyFont="1" applyFill="1" applyAlignment="1" applyProtection="1">
      <alignment horizontal="right"/>
      <protection hidden="1"/>
    </xf>
    <xf numFmtId="4" fontId="29" fillId="3" borderId="0" xfId="0" applyNumberFormat="1" applyFont="1" applyFill="1" applyAlignment="1" applyProtection="1">
      <alignment horizontal="right"/>
      <protection hidden="1"/>
    </xf>
    <xf numFmtId="0" fontId="26" fillId="3" borderId="0" xfId="0" applyFont="1" applyFill="1" applyProtection="1">
      <protection hidden="1"/>
    </xf>
    <xf numFmtId="4" fontId="26" fillId="3" borderId="0" xfId="0" applyNumberFormat="1" applyFont="1" applyFill="1" applyBorder="1" applyProtection="1">
      <protection hidden="1"/>
    </xf>
    <xf numFmtId="0" fontId="26" fillId="3" borderId="135" xfId="0" applyFont="1" applyFill="1" applyBorder="1" applyProtection="1">
      <protection hidden="1"/>
    </xf>
    <xf numFmtId="0" fontId="52" fillId="3" borderId="135" xfId="0" applyFont="1" applyFill="1" applyBorder="1" applyAlignment="1" applyProtection="1">
      <alignment horizontal="right"/>
      <protection hidden="1"/>
    </xf>
    <xf numFmtId="0" fontId="52" fillId="3" borderId="0" xfId="0" applyFont="1" applyFill="1" applyBorder="1" applyAlignment="1" applyProtection="1">
      <alignment horizontal="right"/>
      <protection hidden="1"/>
    </xf>
    <xf numFmtId="4" fontId="29" fillId="3" borderId="0" xfId="0" applyNumberFormat="1" applyFont="1" applyFill="1" applyProtection="1">
      <protection hidden="1"/>
    </xf>
    <xf numFmtId="0" fontId="27" fillId="3" borderId="135" xfId="0" applyFont="1" applyFill="1" applyBorder="1" applyAlignment="1" applyProtection="1">
      <alignment horizontal="right"/>
      <protection hidden="1"/>
    </xf>
    <xf numFmtId="0" fontId="69" fillId="3" borderId="0" xfId="0" applyFont="1" applyFill="1" applyBorder="1" applyAlignment="1" applyProtection="1">
      <alignment horizontal="right"/>
      <protection hidden="1"/>
    </xf>
    <xf numFmtId="4" fontId="26" fillId="3" borderId="0" xfId="0" applyNumberFormat="1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Protection="1">
      <protection hidden="1"/>
    </xf>
    <xf numFmtId="0" fontId="27" fillId="3" borderId="0" xfId="0" applyFont="1" applyFill="1" applyBorder="1" applyProtection="1">
      <protection hidden="1"/>
    </xf>
    <xf numFmtId="0" fontId="27" fillId="3" borderId="17" xfId="0" applyFont="1" applyFill="1" applyBorder="1" applyProtection="1">
      <protection hidden="1"/>
    </xf>
    <xf numFmtId="0" fontId="27" fillId="3" borderId="22" xfId="0" applyFont="1" applyFill="1" applyBorder="1" applyProtection="1">
      <protection hidden="1"/>
    </xf>
    <xf numFmtId="0" fontId="27" fillId="3" borderId="18" xfId="0" applyFont="1" applyFill="1" applyBorder="1" applyProtection="1">
      <protection hidden="1"/>
    </xf>
    <xf numFmtId="0" fontId="27" fillId="3" borderId="140" xfId="0" applyFont="1" applyFill="1" applyBorder="1" applyProtection="1">
      <protection hidden="1"/>
    </xf>
    <xf numFmtId="0" fontId="27" fillId="3" borderId="135" xfId="0" applyFont="1" applyFill="1" applyBorder="1" applyProtection="1">
      <protection hidden="1"/>
    </xf>
    <xf numFmtId="0" fontId="94" fillId="0" borderId="0" xfId="0" applyFont="1" applyAlignment="1" applyProtection="1">
      <alignment horizontal="right" shrinkToFit="1"/>
      <protection locked="0"/>
    </xf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4" fontId="0" fillId="0" borderId="0" xfId="0" applyNumberFormat="1"/>
    <xf numFmtId="168" fontId="0" fillId="0" borderId="0" xfId="0" applyNumberFormat="1"/>
    <xf numFmtId="0" fontId="95" fillId="0" borderId="0" xfId="0" applyFont="1"/>
    <xf numFmtId="0" fontId="30" fillId="3" borderId="0" xfId="0" applyFont="1" applyFill="1" applyProtection="1">
      <protection hidden="1"/>
    </xf>
    <xf numFmtId="0" fontId="31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91" fillId="3" borderId="0" xfId="0" applyFont="1" applyFill="1" applyProtection="1">
      <protection hidden="1"/>
    </xf>
    <xf numFmtId="0" fontId="26" fillId="3" borderId="176" xfId="0" applyFont="1" applyFill="1" applyBorder="1" applyProtection="1">
      <protection hidden="1"/>
    </xf>
    <xf numFmtId="0" fontId="30" fillId="3" borderId="0" xfId="0" applyFont="1" applyFill="1" applyAlignment="1" applyProtection="1">
      <alignment horizontal="center"/>
      <protection hidden="1"/>
    </xf>
    <xf numFmtId="0" fontId="34" fillId="3" borderId="0" xfId="5" applyFont="1" applyFill="1" applyProtection="1">
      <protection hidden="1"/>
    </xf>
    <xf numFmtId="0" fontId="35" fillId="3" borderId="0" xfId="0" applyFont="1" applyFill="1" applyAlignment="1" applyProtection="1">
      <alignment horizontal="left" shrinkToFit="1"/>
      <protection hidden="1"/>
    </xf>
    <xf numFmtId="0" fontId="35" fillId="3" borderId="171" xfId="0" applyFont="1" applyFill="1" applyBorder="1" applyAlignment="1" applyProtection="1">
      <alignment horizontal="left" shrinkToFit="1"/>
      <protection hidden="1"/>
    </xf>
    <xf numFmtId="14" fontId="35" fillId="3" borderId="0" xfId="0" applyNumberFormat="1" applyFont="1" applyFill="1" applyAlignment="1" applyProtection="1">
      <alignment horizontal="center"/>
      <protection hidden="1"/>
    </xf>
    <xf numFmtId="49" fontId="35" fillId="3" borderId="0" xfId="0" applyNumberFormat="1" applyFont="1" applyFill="1" applyAlignment="1" applyProtection="1">
      <alignment horizontal="center"/>
      <protection hidden="1"/>
    </xf>
    <xf numFmtId="0" fontId="36" fillId="3" borderId="0" xfId="0" applyFont="1" applyFill="1" applyProtection="1">
      <protection hidden="1"/>
    </xf>
    <xf numFmtId="0" fontId="37" fillId="3" borderId="0" xfId="5" applyFont="1" applyFill="1" applyProtection="1">
      <protection hidden="1"/>
    </xf>
    <xf numFmtId="0" fontId="38" fillId="3" borderId="0" xfId="5" applyFont="1" applyFill="1" applyProtection="1">
      <protection hidden="1"/>
    </xf>
    <xf numFmtId="0" fontId="35" fillId="3" borderId="0" xfId="0" applyFont="1" applyFill="1" applyBorder="1" applyAlignment="1" applyProtection="1">
      <alignment horizontal="left" shrinkToFit="1"/>
      <protection hidden="1"/>
    </xf>
    <xf numFmtId="0" fontId="39" fillId="3" borderId="0" xfId="0" applyFont="1" applyFill="1" applyProtection="1">
      <protection hidden="1"/>
    </xf>
    <xf numFmtId="0" fontId="26" fillId="3" borderId="0" xfId="0" applyFont="1" applyFill="1" applyBorder="1" applyProtection="1">
      <protection hidden="1"/>
    </xf>
    <xf numFmtId="0" fontId="39" fillId="3" borderId="0" xfId="0" applyFont="1" applyFill="1" applyBorder="1" applyAlignment="1" applyProtection="1">
      <alignment shrinkToFit="1"/>
      <protection hidden="1"/>
    </xf>
    <xf numFmtId="0" fontId="39" fillId="3" borderId="0" xfId="0" applyFont="1" applyFill="1" applyAlignment="1" applyProtection="1">
      <alignment shrinkToFit="1"/>
      <protection hidden="1"/>
    </xf>
    <xf numFmtId="0" fontId="30" fillId="3" borderId="0" xfId="0" applyFont="1" applyFill="1" applyAlignment="1" applyProtection="1">
      <alignment shrinkToFit="1"/>
      <protection hidden="1"/>
    </xf>
    <xf numFmtId="0" fontId="40" fillId="3" borderId="0" xfId="0" applyFont="1" applyFill="1" applyAlignment="1" applyProtection="1">
      <alignment shrinkToFit="1"/>
      <protection hidden="1"/>
    </xf>
    <xf numFmtId="0" fontId="27" fillId="3" borderId="0" xfId="0" applyFont="1" applyFill="1" applyAlignment="1" applyProtection="1">
      <alignment horizontal="left"/>
      <protection hidden="1"/>
    </xf>
    <xf numFmtId="14" fontId="40" fillId="3" borderId="0" xfId="0" applyNumberFormat="1" applyFont="1" applyFill="1" applyAlignment="1" applyProtection="1">
      <alignment horizontal="center"/>
      <protection hidden="1"/>
    </xf>
    <xf numFmtId="49" fontId="40" fillId="3" borderId="0" xfId="0" applyNumberFormat="1" applyFont="1" applyFill="1" applyAlignment="1" applyProtection="1">
      <alignment horizontal="center"/>
      <protection hidden="1"/>
    </xf>
    <xf numFmtId="166" fontId="41" fillId="3" borderId="0" xfId="0" applyNumberFormat="1" applyFont="1" applyFill="1" applyProtection="1">
      <protection hidden="1"/>
    </xf>
    <xf numFmtId="169" fontId="35" fillId="3" borderId="0" xfId="0" applyNumberFormat="1" applyFont="1" applyFill="1" applyAlignment="1" applyProtection="1">
      <alignment horizontal="right"/>
      <protection hidden="1"/>
    </xf>
    <xf numFmtId="166" fontId="35" fillId="3" borderId="0" xfId="0" applyNumberFormat="1" applyFont="1" applyFill="1" applyAlignment="1" applyProtection="1">
      <alignment horizontal="right"/>
      <protection hidden="1"/>
    </xf>
    <xf numFmtId="0" fontId="39" fillId="3" borderId="0" xfId="0" applyFont="1" applyFill="1" applyAlignment="1" applyProtection="1">
      <alignment horizontal="right"/>
      <protection hidden="1"/>
    </xf>
    <xf numFmtId="0" fontId="35" fillId="3" borderId="0" xfId="0" applyFont="1" applyFill="1" applyAlignment="1" applyProtection="1">
      <alignment horizontal="right"/>
      <protection hidden="1"/>
    </xf>
    <xf numFmtId="0" fontId="40" fillId="3" borderId="0" xfId="0" applyFont="1" applyFill="1" applyAlignment="1" applyProtection="1">
      <alignment horizontal="right"/>
      <protection hidden="1"/>
    </xf>
    <xf numFmtId="0" fontId="27" fillId="3" borderId="3" xfId="0" applyFont="1" applyFill="1" applyBorder="1" applyAlignment="1" applyProtection="1">
      <alignment horizontal="center"/>
      <protection hidden="1"/>
    </xf>
    <xf numFmtId="0" fontId="27" fillId="3" borderId="22" xfId="0" applyFont="1" applyFill="1" applyBorder="1" applyAlignment="1" applyProtection="1">
      <alignment horizontal="center"/>
      <protection hidden="1"/>
    </xf>
    <xf numFmtId="0" fontId="26" fillId="3" borderId="17" xfId="0" applyFont="1" applyFill="1" applyBorder="1" applyProtection="1">
      <protection hidden="1"/>
    </xf>
    <xf numFmtId="0" fontId="39" fillId="3" borderId="22" xfId="0" applyFont="1" applyFill="1" applyBorder="1" applyAlignment="1" applyProtection="1">
      <alignment horizontal="center"/>
      <protection hidden="1"/>
    </xf>
    <xf numFmtId="0" fontId="39" fillId="3" borderId="22" xfId="0" applyFont="1" applyFill="1" applyBorder="1" applyProtection="1">
      <protection hidden="1"/>
    </xf>
    <xf numFmtId="0" fontId="39" fillId="3" borderId="22" xfId="0" applyFont="1" applyFill="1" applyBorder="1" applyAlignment="1" applyProtection="1">
      <alignment horizontal="center" vertical="top"/>
      <protection hidden="1"/>
    </xf>
    <xf numFmtId="0" fontId="39" fillId="3" borderId="0" xfId="0" applyFont="1" applyFill="1" applyBorder="1" applyAlignment="1" applyProtection="1">
      <alignment horizontal="center"/>
      <protection hidden="1"/>
    </xf>
    <xf numFmtId="0" fontId="39" fillId="3" borderId="18" xfId="0" applyFont="1" applyFill="1" applyBorder="1" applyProtection="1">
      <protection hidden="1"/>
    </xf>
    <xf numFmtId="0" fontId="41" fillId="3" borderId="0" xfId="0" applyFont="1" applyFill="1" applyAlignment="1" applyProtection="1">
      <alignment horizontal="center"/>
      <protection hidden="1"/>
    </xf>
    <xf numFmtId="0" fontId="39" fillId="3" borderId="32" xfId="0" applyFont="1" applyFill="1" applyBorder="1" applyProtection="1">
      <protection hidden="1"/>
    </xf>
    <xf numFmtId="0" fontId="45" fillId="3" borderId="0" xfId="0" applyFont="1" applyFill="1" applyProtection="1">
      <protection hidden="1"/>
    </xf>
    <xf numFmtId="2" fontId="41" fillId="3" borderId="0" xfId="0" applyNumberFormat="1" applyFont="1" applyFill="1" applyAlignment="1" applyProtection="1">
      <alignment horizontal="right"/>
      <protection hidden="1"/>
    </xf>
    <xf numFmtId="0" fontId="45" fillId="3" borderId="0" xfId="0" quotePrefix="1" applyFont="1" applyFill="1" applyProtection="1">
      <protection hidden="1"/>
    </xf>
    <xf numFmtId="0" fontId="28" fillId="3" borderId="0" xfId="0" applyFont="1" applyFill="1" applyProtection="1">
      <protection hidden="1"/>
    </xf>
    <xf numFmtId="0" fontId="43" fillId="3" borderId="0" xfId="0" applyFont="1" applyFill="1" applyAlignment="1" applyProtection="1">
      <alignment horizontal="center" vertical="center"/>
      <protection hidden="1"/>
    </xf>
    <xf numFmtId="0" fontId="28" fillId="3" borderId="0" xfId="0" applyFont="1" applyFill="1" applyAlignment="1" applyProtection="1">
      <alignment horizontal="left"/>
      <protection hidden="1"/>
    </xf>
    <xf numFmtId="2" fontId="41" fillId="3" borderId="0" xfId="0" applyNumberFormat="1" applyFont="1" applyFill="1" applyBorder="1" applyAlignment="1" applyProtection="1">
      <alignment horizontal="right" vertical="center"/>
      <protection hidden="1"/>
    </xf>
    <xf numFmtId="2" fontId="41" fillId="3" borderId="0" xfId="0" applyNumberFormat="1" applyFont="1" applyFill="1" applyAlignment="1" applyProtection="1">
      <alignment horizontal="right" vertical="center"/>
      <protection hidden="1"/>
    </xf>
    <xf numFmtId="0" fontId="47" fillId="3" borderId="0" xfId="0" applyFont="1" applyFill="1" applyProtection="1">
      <protection hidden="1"/>
    </xf>
    <xf numFmtId="0" fontId="48" fillId="3" borderId="0" xfId="0" applyFont="1" applyFill="1" applyAlignment="1" applyProtection="1">
      <alignment wrapText="1"/>
      <protection hidden="1"/>
    </xf>
    <xf numFmtId="0" fontId="27" fillId="3" borderId="32" xfId="0" applyFont="1" applyFill="1" applyBorder="1" applyProtection="1">
      <protection hidden="1"/>
    </xf>
    <xf numFmtId="0" fontId="48" fillId="3" borderId="31" xfId="0" applyFont="1" applyFill="1" applyBorder="1" applyAlignment="1" applyProtection="1">
      <alignment horizontal="left" wrapText="1"/>
      <protection hidden="1"/>
    </xf>
    <xf numFmtId="0" fontId="48" fillId="3" borderId="0" xfId="0" applyFont="1" applyFill="1" applyAlignment="1" applyProtection="1">
      <alignment horizontal="left" wrapText="1"/>
      <protection hidden="1"/>
    </xf>
    <xf numFmtId="0" fontId="49" fillId="3" borderId="0" xfId="0" applyFont="1" applyFill="1" applyProtection="1">
      <protection hidden="1"/>
    </xf>
    <xf numFmtId="0" fontId="49" fillId="3" borderId="0" xfId="0" applyFont="1" applyFill="1" applyBorder="1" applyProtection="1">
      <protection hidden="1"/>
    </xf>
    <xf numFmtId="0" fontId="29" fillId="3" borderId="31" xfId="0" applyFont="1" applyFill="1" applyBorder="1" applyProtection="1">
      <protection hidden="1"/>
    </xf>
    <xf numFmtId="0" fontId="50" fillId="3" borderId="0" xfId="0" applyFont="1" applyFill="1" applyAlignment="1" applyProtection="1">
      <alignment horizontal="center"/>
      <protection hidden="1"/>
    </xf>
    <xf numFmtId="0" fontId="26" fillId="3" borderId="40" xfId="0" applyFont="1" applyFill="1" applyBorder="1" applyProtection="1">
      <protection hidden="1"/>
    </xf>
    <xf numFmtId="0" fontId="26" fillId="3" borderId="31" xfId="0" applyFont="1" applyFill="1" applyBorder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4" fontId="27" fillId="3" borderId="138" xfId="0" applyNumberFormat="1" applyFont="1" applyFill="1" applyBorder="1" applyProtection="1">
      <protection hidden="1"/>
    </xf>
    <xf numFmtId="4" fontId="41" fillId="3" borderId="0" xfId="0" applyNumberFormat="1" applyFont="1" applyFill="1" applyAlignment="1" applyProtection="1">
      <alignment horizontal="right"/>
      <protection hidden="1"/>
    </xf>
    <xf numFmtId="4" fontId="27" fillId="3" borderId="140" xfId="0" applyNumberFormat="1" applyFont="1" applyFill="1" applyBorder="1" applyProtection="1">
      <protection hidden="1"/>
    </xf>
    <xf numFmtId="4" fontId="27" fillId="3" borderId="0" xfId="0" applyNumberFormat="1" applyFont="1" applyFill="1" applyProtection="1">
      <protection hidden="1"/>
    </xf>
    <xf numFmtId="4" fontId="27" fillId="3" borderId="141" xfId="0" applyNumberFormat="1" applyFont="1" applyFill="1" applyBorder="1" applyProtection="1">
      <protection hidden="1"/>
    </xf>
    <xf numFmtId="0" fontId="27" fillId="3" borderId="20" xfId="0" applyFont="1" applyFill="1" applyBorder="1" applyProtection="1">
      <protection hidden="1"/>
    </xf>
    <xf numFmtId="0" fontId="27" fillId="3" borderId="31" xfId="0" applyFont="1" applyFill="1" applyBorder="1" applyProtection="1">
      <protection hidden="1"/>
    </xf>
    <xf numFmtId="3" fontId="41" fillId="3" borderId="0" xfId="0" applyNumberFormat="1" applyFont="1" applyFill="1" applyAlignment="1" applyProtection="1">
      <alignment horizontal="right"/>
      <protection hidden="1"/>
    </xf>
    <xf numFmtId="4" fontId="39" fillId="3" borderId="0" xfId="0" applyNumberFormat="1" applyFont="1" applyFill="1" applyAlignment="1" applyProtection="1">
      <alignment horizontal="right"/>
      <protection hidden="1"/>
    </xf>
    <xf numFmtId="0" fontId="27" fillId="3" borderId="31" xfId="0" applyFont="1" applyFill="1" applyBorder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26" fillId="3" borderId="31" xfId="0" applyFont="1" applyFill="1" applyBorder="1" applyProtection="1">
      <protection hidden="1"/>
    </xf>
    <xf numFmtId="0" fontId="30" fillId="3" borderId="0" xfId="0" applyFont="1" applyFill="1" applyAlignment="1" applyProtection="1">
      <alignment horizontal="right"/>
      <protection hidden="1"/>
    </xf>
    <xf numFmtId="0" fontId="26" fillId="3" borderId="140" xfId="0" applyFont="1" applyFill="1" applyBorder="1" applyProtection="1">
      <protection hidden="1"/>
    </xf>
    <xf numFmtId="4" fontId="30" fillId="3" borderId="0" xfId="0" applyNumberFormat="1" applyFont="1" applyFill="1" applyBorder="1" applyAlignment="1" applyProtection="1">
      <alignment horizontal="right"/>
      <protection hidden="1"/>
    </xf>
    <xf numFmtId="4" fontId="39" fillId="3" borderId="0" xfId="0" applyNumberFormat="1" applyFont="1" applyFill="1" applyBorder="1" applyAlignment="1" applyProtection="1">
      <alignment horizontal="right"/>
      <protection hidden="1"/>
    </xf>
    <xf numFmtId="4" fontId="41" fillId="3" borderId="0" xfId="0" applyNumberFormat="1" applyFont="1" applyFill="1" applyBorder="1" applyAlignment="1" applyProtection="1">
      <alignment horizontal="right"/>
      <protection hidden="1"/>
    </xf>
    <xf numFmtId="0" fontId="26" fillId="3" borderId="22" xfId="0" applyFont="1" applyFill="1" applyBorder="1" applyProtection="1">
      <protection hidden="1"/>
    </xf>
    <xf numFmtId="4" fontId="30" fillId="3" borderId="0" xfId="0" applyNumberFormat="1" applyFont="1" applyFill="1" applyAlignment="1" applyProtection="1">
      <alignment horizontal="right"/>
      <protection hidden="1"/>
    </xf>
    <xf numFmtId="0" fontId="52" fillId="3" borderId="0" xfId="0" applyFont="1" applyFill="1" applyBorder="1" applyProtection="1">
      <protection hidden="1"/>
    </xf>
    <xf numFmtId="0" fontId="52" fillId="3" borderId="0" xfId="0" applyFont="1" applyFill="1" applyProtection="1">
      <protection hidden="1"/>
    </xf>
    <xf numFmtId="169" fontId="50" fillId="3" borderId="51" xfId="0" applyNumberFormat="1" applyFont="1" applyFill="1" applyBorder="1" applyAlignment="1" applyProtection="1">
      <alignment vertical="center"/>
      <protection hidden="1"/>
    </xf>
    <xf numFmtId="0" fontId="27" fillId="3" borderId="52" xfId="0" applyFont="1" applyFill="1" applyBorder="1" applyProtection="1">
      <protection hidden="1"/>
    </xf>
    <xf numFmtId="0" fontId="27" fillId="3" borderId="52" xfId="0" applyFont="1" applyFill="1" applyBorder="1" applyAlignment="1" applyProtection="1">
      <alignment horizontal="right"/>
      <protection hidden="1"/>
    </xf>
    <xf numFmtId="0" fontId="27" fillId="3" borderId="53" xfId="0" applyFont="1" applyFill="1" applyBorder="1" applyProtection="1">
      <protection hidden="1"/>
    </xf>
    <xf numFmtId="169" fontId="50" fillId="3" borderId="134" xfId="0" applyNumberFormat="1" applyFont="1" applyFill="1" applyBorder="1" applyAlignment="1" applyProtection="1">
      <alignment vertical="center"/>
      <protection hidden="1"/>
    </xf>
    <xf numFmtId="0" fontId="27" fillId="3" borderId="136" xfId="0" applyFont="1" applyFill="1" applyBorder="1" applyAlignment="1" applyProtection="1">
      <alignment horizontal="right"/>
      <protection hidden="1"/>
    </xf>
    <xf numFmtId="169" fontId="50" fillId="3" borderId="0" xfId="0" applyNumberFormat="1" applyFont="1" applyFill="1" applyBorder="1" applyAlignment="1" applyProtection="1">
      <alignment horizontal="center" vertical="center"/>
      <protection hidden="1"/>
    </xf>
    <xf numFmtId="0" fontId="27" fillId="3" borderId="171" xfId="0" applyFont="1" applyFill="1" applyBorder="1" applyProtection="1">
      <protection hidden="1"/>
    </xf>
    <xf numFmtId="0" fontId="27" fillId="3" borderId="136" xfId="0" applyFont="1" applyFill="1" applyBorder="1" applyProtection="1">
      <protection hidden="1"/>
    </xf>
    <xf numFmtId="0" fontId="28" fillId="3" borderId="139" xfId="0" applyFont="1" applyFill="1" applyBorder="1" applyAlignment="1" applyProtection="1">
      <alignment horizontal="left"/>
      <protection hidden="1"/>
    </xf>
    <xf numFmtId="0" fontId="28" fillId="3" borderId="142" xfId="0" applyFont="1" applyFill="1" applyBorder="1" applyAlignment="1" applyProtection="1">
      <alignment horizontal="left"/>
      <protection hidden="1"/>
    </xf>
    <xf numFmtId="0" fontId="27" fillId="3" borderId="143" xfId="0" applyFont="1" applyFill="1" applyBorder="1" applyProtection="1">
      <protection hidden="1"/>
    </xf>
    <xf numFmtId="0" fontId="57" fillId="3" borderId="31" xfId="0" applyFont="1" applyFill="1" applyBorder="1" applyAlignment="1" applyProtection="1">
      <alignment horizontal="left"/>
      <protection hidden="1"/>
    </xf>
    <xf numFmtId="169" fontId="50" fillId="3" borderId="0" xfId="0" applyNumberFormat="1" applyFont="1" applyFill="1" applyAlignment="1" applyProtection="1">
      <alignment horizontal="right" vertical="center"/>
      <protection hidden="1"/>
    </xf>
    <xf numFmtId="169" fontId="50" fillId="3" borderId="54" xfId="0" applyNumberFormat="1" applyFont="1" applyFill="1" applyBorder="1" applyAlignment="1" applyProtection="1">
      <alignment horizontal="center" vertical="center"/>
      <protection hidden="1"/>
    </xf>
    <xf numFmtId="169" fontId="50" fillId="3" borderId="0" xfId="0" applyNumberFormat="1" applyFont="1" applyFill="1" applyAlignment="1" applyProtection="1">
      <alignment horizontal="right"/>
      <protection hidden="1"/>
    </xf>
    <xf numFmtId="169" fontId="50" fillId="3" borderId="52" xfId="0" applyNumberFormat="1" applyFont="1" applyFill="1" applyBorder="1" applyAlignment="1" applyProtection="1">
      <alignment vertical="center"/>
      <protection hidden="1"/>
    </xf>
    <xf numFmtId="0" fontId="27" fillId="3" borderId="145" xfId="0" applyFont="1" applyFill="1" applyBorder="1" applyProtection="1">
      <protection hidden="1"/>
    </xf>
    <xf numFmtId="0" fontId="28" fillId="3" borderId="134" xfId="0" applyFont="1" applyFill="1" applyBorder="1" applyAlignment="1" applyProtection="1">
      <alignment horizontal="left"/>
      <protection hidden="1"/>
    </xf>
    <xf numFmtId="169" fontId="29" fillId="3" borderId="0" xfId="0" applyNumberFormat="1" applyFont="1" applyFill="1" applyBorder="1" applyAlignment="1" applyProtection="1">
      <alignment horizontal="center" vertical="center"/>
      <protection hidden="1"/>
    </xf>
    <xf numFmtId="0" fontId="57" fillId="3" borderId="146" xfId="0" applyFont="1" applyFill="1" applyBorder="1" applyAlignment="1" applyProtection="1">
      <alignment horizontal="left"/>
      <protection hidden="1"/>
    </xf>
    <xf numFmtId="0" fontId="27" fillId="3" borderId="54" xfId="0" applyFont="1" applyFill="1" applyBorder="1" applyProtection="1">
      <protection hidden="1"/>
    </xf>
    <xf numFmtId="0" fontId="27" fillId="3" borderId="54" xfId="0" applyFont="1" applyFill="1" applyBorder="1" applyAlignment="1" applyProtection="1">
      <alignment horizontal="center"/>
      <protection hidden="1"/>
    </xf>
    <xf numFmtId="169" fontId="50" fillId="3" borderId="147" xfId="0" applyNumberFormat="1" applyFont="1" applyFill="1" applyBorder="1" applyAlignment="1" applyProtection="1">
      <alignment horizontal="right" vertical="center"/>
      <protection hidden="1"/>
    </xf>
    <xf numFmtId="169" fontId="27" fillId="3" borderId="146" xfId="0" applyNumberFormat="1" applyFont="1" applyFill="1" applyBorder="1" applyAlignment="1" applyProtection="1">
      <alignment horizontal="center" vertical="center"/>
      <protection hidden="1"/>
    </xf>
    <xf numFmtId="0" fontId="27" fillId="3" borderId="54" xfId="0" applyFont="1" applyFill="1" applyBorder="1" applyAlignment="1" applyProtection="1">
      <alignment horizontal="right"/>
      <protection hidden="1"/>
    </xf>
    <xf numFmtId="169" fontId="50" fillId="3" borderId="54" xfId="0" applyNumberFormat="1" applyFont="1" applyFill="1" applyBorder="1" applyAlignment="1" applyProtection="1">
      <alignment horizontal="right"/>
      <protection hidden="1"/>
    </xf>
    <xf numFmtId="0" fontId="27" fillId="3" borderId="147" xfId="0" applyFont="1" applyFill="1" applyBorder="1" applyAlignment="1" applyProtection="1">
      <alignment horizontal="right"/>
      <protection hidden="1"/>
    </xf>
    <xf numFmtId="0" fontId="27" fillId="3" borderId="55" xfId="0" applyFont="1" applyFill="1" applyBorder="1" applyProtection="1">
      <protection hidden="1"/>
    </xf>
    <xf numFmtId="0" fontId="45" fillId="3" borderId="0" xfId="0" applyFont="1" applyFill="1" applyAlignment="1" applyProtection="1">
      <alignment wrapText="1"/>
      <protection hidden="1"/>
    </xf>
    <xf numFmtId="169" fontId="50" fillId="3" borderId="139" xfId="0" applyNumberFormat="1" applyFont="1" applyFill="1" applyBorder="1" applyAlignment="1" applyProtection="1">
      <alignment vertical="center"/>
      <protection hidden="1"/>
    </xf>
    <xf numFmtId="169" fontId="50" fillId="3" borderId="0" xfId="0" applyNumberFormat="1" applyFont="1" applyFill="1" applyBorder="1" applyAlignment="1" applyProtection="1">
      <alignment vertical="center"/>
      <protection hidden="1"/>
    </xf>
    <xf numFmtId="169" fontId="50" fillId="3" borderId="140" xfId="0" applyNumberFormat="1" applyFont="1" applyFill="1" applyBorder="1" applyAlignment="1" applyProtection="1">
      <alignment vertical="center"/>
      <protection hidden="1"/>
    </xf>
    <xf numFmtId="0" fontId="27" fillId="3" borderId="139" xfId="0" applyFont="1" applyFill="1" applyBorder="1" applyProtection="1">
      <protection hidden="1"/>
    </xf>
    <xf numFmtId="0" fontId="27" fillId="3" borderId="134" xfId="0" applyFont="1" applyFill="1" applyBorder="1" applyProtection="1">
      <protection hidden="1"/>
    </xf>
    <xf numFmtId="0" fontId="28" fillId="3" borderId="140" xfId="0" applyFont="1" applyFill="1" applyBorder="1" applyProtection="1">
      <protection hidden="1"/>
    </xf>
    <xf numFmtId="169" fontId="50" fillId="3" borderId="0" xfId="0" applyNumberFormat="1" applyFont="1" applyFill="1" applyAlignment="1" applyProtection="1">
      <alignment horizontal="center"/>
      <protection hidden="1"/>
    </xf>
    <xf numFmtId="0" fontId="46" fillId="3" borderId="31" xfId="0" applyFont="1" applyFill="1" applyBorder="1" applyProtection="1">
      <protection hidden="1"/>
    </xf>
    <xf numFmtId="169" fontId="57" fillId="3" borderId="0" xfId="0" applyNumberFormat="1" applyFont="1" applyFill="1" applyAlignment="1" applyProtection="1">
      <alignment horizontal="left" vertical="center"/>
      <protection hidden="1"/>
    </xf>
    <xf numFmtId="0" fontId="45" fillId="3" borderId="31" xfId="0" applyFont="1" applyFill="1" applyBorder="1" applyProtection="1">
      <protection hidden="1"/>
    </xf>
    <xf numFmtId="0" fontId="61" fillId="3" borderId="4" xfId="0" applyFont="1" applyFill="1" applyBorder="1" applyAlignment="1" applyProtection="1">
      <alignment horizontal="center"/>
      <protection hidden="1"/>
    </xf>
    <xf numFmtId="0" fontId="57" fillId="3" borderId="51" xfId="0" applyFont="1" applyFill="1" applyBorder="1" applyAlignment="1" applyProtection="1">
      <alignment horizontal="left"/>
      <protection hidden="1"/>
    </xf>
    <xf numFmtId="169" fontId="50" fillId="3" borderId="52" xfId="0" applyNumberFormat="1" applyFont="1" applyFill="1" applyBorder="1" applyAlignment="1" applyProtection="1">
      <alignment horizontal="right" vertical="center"/>
      <protection hidden="1"/>
    </xf>
    <xf numFmtId="169" fontId="57" fillId="3" borderId="52" xfId="0" applyNumberFormat="1" applyFont="1" applyFill="1" applyBorder="1" applyAlignment="1" applyProtection="1">
      <alignment horizontal="left" vertical="center"/>
      <protection hidden="1"/>
    </xf>
    <xf numFmtId="169" fontId="50" fillId="3" borderId="52" xfId="0" applyNumberFormat="1" applyFont="1" applyFill="1" applyBorder="1" applyAlignment="1" applyProtection="1">
      <alignment horizontal="right"/>
      <protection hidden="1"/>
    </xf>
    <xf numFmtId="169" fontId="50" fillId="3" borderId="52" xfId="0" applyNumberFormat="1" applyFont="1" applyFill="1" applyBorder="1" applyAlignment="1" applyProtection="1">
      <alignment horizontal="center"/>
      <protection hidden="1"/>
    </xf>
    <xf numFmtId="0" fontId="27" fillId="3" borderId="142" xfId="0" applyFont="1" applyFill="1" applyBorder="1" applyProtection="1">
      <protection hidden="1"/>
    </xf>
    <xf numFmtId="0" fontId="45" fillId="3" borderId="158" xfId="0" applyFont="1" applyFill="1" applyBorder="1" applyAlignment="1" applyProtection="1">
      <alignment horizontal="left"/>
      <protection hidden="1"/>
    </xf>
    <xf numFmtId="2" fontId="28" fillId="3" borderId="143" xfId="0" applyNumberFormat="1" applyFont="1" applyFill="1" applyBorder="1" applyAlignment="1" applyProtection="1">
      <alignment horizontal="center"/>
      <protection hidden="1"/>
    </xf>
    <xf numFmtId="0" fontId="28" fillId="3" borderId="143" xfId="0" applyFont="1" applyFill="1" applyBorder="1" applyAlignment="1" applyProtection="1">
      <alignment horizontal="center"/>
      <protection hidden="1"/>
    </xf>
    <xf numFmtId="0" fontId="27" fillId="3" borderId="144" xfId="0" applyFont="1" applyFill="1" applyBorder="1" applyProtection="1">
      <protection hidden="1"/>
    </xf>
    <xf numFmtId="0" fontId="28" fillId="3" borderId="134" xfId="0" applyFont="1" applyFill="1" applyBorder="1" applyProtection="1">
      <protection hidden="1"/>
    </xf>
    <xf numFmtId="0" fontId="28" fillId="3" borderId="139" xfId="0" applyFont="1" applyFill="1" applyBorder="1" applyProtection="1">
      <protection hidden="1"/>
    </xf>
    <xf numFmtId="2" fontId="27" fillId="3" borderId="0" xfId="0" applyNumberFormat="1" applyFont="1" applyFill="1" applyBorder="1" applyAlignment="1" applyProtection="1">
      <alignment horizontal="center"/>
      <protection hidden="1"/>
    </xf>
    <xf numFmtId="169" fontId="50" fillId="3" borderId="0" xfId="0" applyNumberFormat="1" applyFont="1" applyFill="1" applyBorder="1" applyAlignment="1" applyProtection="1">
      <alignment horizontal="right" vertical="center"/>
      <protection hidden="1"/>
    </xf>
    <xf numFmtId="0" fontId="26" fillId="3" borderId="140" xfId="0" applyFont="1" applyFill="1" applyBorder="1" applyAlignment="1" applyProtection="1">
      <alignment horizontal="right" vertical="center"/>
      <protection hidden="1"/>
    </xf>
    <xf numFmtId="2" fontId="27" fillId="3" borderId="139" xfId="0" applyNumberFormat="1" applyFont="1" applyFill="1" applyBorder="1" applyAlignment="1" applyProtection="1">
      <alignment horizontal="center"/>
      <protection hidden="1"/>
    </xf>
    <xf numFmtId="0" fontId="28" fillId="3" borderId="142" xfId="0" applyFont="1" applyFill="1" applyBorder="1" applyProtection="1">
      <protection hidden="1"/>
    </xf>
    <xf numFmtId="169" fontId="50" fillId="3" borderId="142" xfId="0" applyNumberFormat="1" applyFont="1" applyFill="1" applyBorder="1" applyAlignment="1" applyProtection="1">
      <alignment horizontal="center"/>
      <protection hidden="1"/>
    </xf>
    <xf numFmtId="0" fontId="52" fillId="3" borderId="135" xfId="0" applyFont="1" applyFill="1" applyBorder="1" applyProtection="1">
      <protection hidden="1"/>
    </xf>
    <xf numFmtId="0" fontId="50" fillId="3" borderId="52" xfId="0" applyFont="1" applyFill="1" applyBorder="1" applyAlignment="1" applyProtection="1">
      <alignment horizontal="center"/>
      <protection hidden="1"/>
    </xf>
    <xf numFmtId="0" fontId="29" fillId="3" borderId="52" xfId="0" applyFont="1" applyFill="1" applyBorder="1" applyAlignment="1" applyProtection="1">
      <alignment horizontal="center"/>
      <protection hidden="1"/>
    </xf>
    <xf numFmtId="0" fontId="50" fillId="3" borderId="0" xfId="0" applyFont="1" applyFill="1" applyBorder="1" applyAlignment="1" applyProtection="1">
      <alignment horizontal="center"/>
      <protection hidden="1"/>
    </xf>
    <xf numFmtId="0" fontId="29" fillId="3" borderId="0" xfId="0" applyFont="1" applyFill="1" applyAlignment="1" applyProtection="1">
      <alignment horizontal="center"/>
      <protection hidden="1"/>
    </xf>
    <xf numFmtId="0" fontId="42" fillId="3" borderId="4" xfId="0" applyFont="1" applyFill="1" applyBorder="1" applyAlignment="1" applyProtection="1">
      <alignment horizontal="center"/>
      <protection hidden="1"/>
    </xf>
    <xf numFmtId="0" fontId="28" fillId="3" borderId="0" xfId="0" applyFont="1" applyFill="1" applyBorder="1" applyProtection="1">
      <protection hidden="1"/>
    </xf>
    <xf numFmtId="0" fontId="27" fillId="3" borderId="158" xfId="0" applyFont="1" applyFill="1" applyBorder="1" applyProtection="1">
      <protection hidden="1"/>
    </xf>
    <xf numFmtId="0" fontId="26" fillId="3" borderId="143" xfId="0" applyFont="1" applyFill="1" applyBorder="1" applyProtection="1">
      <protection hidden="1"/>
    </xf>
    <xf numFmtId="3" fontId="29" fillId="3" borderId="0" xfId="0" applyNumberFormat="1" applyFont="1" applyFill="1" applyAlignment="1" applyProtection="1">
      <alignment horizontal="center"/>
      <protection hidden="1"/>
    </xf>
    <xf numFmtId="0" fontId="28" fillId="3" borderId="222" xfId="0" applyFont="1" applyFill="1" applyBorder="1" applyProtection="1">
      <protection hidden="1"/>
    </xf>
    <xf numFmtId="0" fontId="82" fillId="3" borderId="143" xfId="0" applyFont="1" applyFill="1" applyBorder="1" applyProtection="1">
      <protection hidden="1"/>
    </xf>
    <xf numFmtId="0" fontId="83" fillId="3" borderId="143" xfId="0" applyFont="1" applyFill="1" applyBorder="1" applyProtection="1">
      <protection hidden="1"/>
    </xf>
    <xf numFmtId="0" fontId="3" fillId="3" borderId="143" xfId="0" applyFont="1" applyFill="1" applyBorder="1" applyProtection="1">
      <protection hidden="1"/>
    </xf>
    <xf numFmtId="0" fontId="89" fillId="3" borderId="0" xfId="0" applyFont="1" applyFill="1" applyBorder="1" applyProtection="1">
      <protection hidden="1"/>
    </xf>
    <xf numFmtId="0" fontId="27" fillId="3" borderId="222" xfId="0" applyFont="1" applyFill="1" applyBorder="1" applyProtection="1">
      <protection hidden="1"/>
    </xf>
    <xf numFmtId="0" fontId="83" fillId="3" borderId="0" xfId="0" applyFont="1" applyFill="1" applyProtection="1">
      <protection hidden="1"/>
    </xf>
    <xf numFmtId="0" fontId="3" fillId="3" borderId="0" xfId="0" applyFont="1" applyFill="1" applyProtection="1">
      <protection hidden="1"/>
    </xf>
    <xf numFmtId="0" fontId="3" fillId="3" borderId="136" xfId="0" applyFont="1" applyFill="1" applyBorder="1" applyProtection="1">
      <protection hidden="1"/>
    </xf>
    <xf numFmtId="0" fontId="3" fillId="3" borderId="140" xfId="0" applyFont="1" applyFill="1" applyBorder="1" applyProtection="1">
      <protection hidden="1"/>
    </xf>
    <xf numFmtId="0" fontId="83" fillId="3" borderId="0" xfId="0" applyFont="1" applyFill="1" applyAlignment="1" applyProtection="1">
      <alignment horizontal="center" vertical="center"/>
      <protection hidden="1"/>
    </xf>
    <xf numFmtId="0" fontId="3" fillId="3" borderId="142" xfId="0" applyFont="1" applyFill="1" applyBorder="1" applyProtection="1">
      <protection hidden="1"/>
    </xf>
    <xf numFmtId="0" fontId="3" fillId="3" borderId="144" xfId="0" applyFont="1" applyFill="1" applyBorder="1" applyProtection="1">
      <protection hidden="1"/>
    </xf>
    <xf numFmtId="0" fontId="3" fillId="3" borderId="135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" fillId="3" borderId="222" xfId="0" applyFont="1" applyFill="1" applyBorder="1" applyProtection="1">
      <protection hidden="1"/>
    </xf>
    <xf numFmtId="0" fontId="3" fillId="3" borderId="139" xfId="0" applyFont="1" applyFill="1" applyBorder="1" applyProtection="1">
      <protection hidden="1"/>
    </xf>
    <xf numFmtId="0" fontId="26" fillId="3" borderId="52" xfId="0" applyFont="1" applyFill="1" applyBorder="1" applyProtection="1">
      <protection hidden="1"/>
    </xf>
    <xf numFmtId="169" fontId="28" fillId="3" borderId="40" xfId="0" applyNumberFormat="1" applyFont="1" applyFill="1" applyBorder="1" applyAlignment="1" applyProtection="1">
      <alignment horizontal="right"/>
      <protection hidden="1"/>
    </xf>
    <xf numFmtId="169" fontId="28" fillId="3" borderId="143" xfId="0" applyNumberFormat="1" applyFont="1" applyFill="1" applyBorder="1" applyAlignment="1" applyProtection="1">
      <alignment horizontal="right"/>
      <protection hidden="1"/>
    </xf>
    <xf numFmtId="0" fontId="27" fillId="3" borderId="148" xfId="0" applyFont="1" applyFill="1" applyBorder="1" applyProtection="1">
      <protection hidden="1"/>
    </xf>
    <xf numFmtId="169" fontId="28" fillId="3" borderId="136" xfId="0" applyNumberFormat="1" applyFont="1" applyFill="1" applyBorder="1" applyAlignment="1" applyProtection="1">
      <alignment horizontal="right"/>
      <protection hidden="1"/>
    </xf>
    <xf numFmtId="169" fontId="28" fillId="3" borderId="22" xfId="0" applyNumberFormat="1" applyFont="1" applyFill="1" applyBorder="1" applyAlignment="1" applyProtection="1">
      <alignment horizontal="right"/>
      <protection hidden="1"/>
    </xf>
    <xf numFmtId="0" fontId="26" fillId="3" borderId="134" xfId="0" applyFont="1" applyFill="1" applyBorder="1" applyProtection="1">
      <protection hidden="1"/>
    </xf>
    <xf numFmtId="169" fontId="28" fillId="3" borderId="247" xfId="0" applyNumberFormat="1" applyFont="1" applyFill="1" applyBorder="1" applyAlignment="1" applyProtection="1">
      <alignment horizontal="right"/>
      <protection hidden="1"/>
    </xf>
    <xf numFmtId="0" fontId="26" fillId="3" borderId="136" xfId="0" applyFont="1" applyFill="1" applyBorder="1" applyProtection="1">
      <protection hidden="1"/>
    </xf>
    <xf numFmtId="169" fontId="28" fillId="3" borderId="18" xfId="0" applyNumberFormat="1" applyFont="1" applyFill="1" applyBorder="1" applyAlignment="1" applyProtection="1">
      <alignment horizontal="right"/>
      <protection hidden="1"/>
    </xf>
    <xf numFmtId="169" fontId="28" fillId="3" borderId="32" xfId="0" applyNumberFormat="1" applyFont="1" applyFill="1" applyBorder="1" applyAlignment="1" applyProtection="1">
      <alignment horizontal="right"/>
      <protection hidden="1"/>
    </xf>
    <xf numFmtId="169" fontId="27" fillId="3" borderId="0" xfId="0" applyNumberFormat="1" applyFont="1" applyFill="1" applyBorder="1" applyProtection="1">
      <protection hidden="1"/>
    </xf>
    <xf numFmtId="169" fontId="28" fillId="3" borderId="140" xfId="0" applyNumberFormat="1" applyFont="1" applyFill="1" applyBorder="1" applyAlignment="1" applyProtection="1">
      <alignment horizontal="right"/>
      <protection hidden="1"/>
    </xf>
    <xf numFmtId="0" fontId="27" fillId="3" borderId="207" xfId="0" applyFont="1" applyFill="1" applyBorder="1" applyProtection="1">
      <protection hidden="1"/>
    </xf>
    <xf numFmtId="0" fontId="27" fillId="3" borderId="208" xfId="0" applyFont="1" applyFill="1" applyBorder="1" applyProtection="1">
      <protection hidden="1"/>
    </xf>
    <xf numFmtId="0" fontId="27" fillId="3" borderId="19" xfId="0" applyFont="1" applyFill="1" applyBorder="1" applyProtection="1">
      <protection hidden="1"/>
    </xf>
    <xf numFmtId="0" fontId="27" fillId="3" borderId="40" xfId="0" applyFont="1" applyFill="1" applyBorder="1" applyProtection="1">
      <protection hidden="1"/>
    </xf>
    <xf numFmtId="169" fontId="28" fillId="3" borderId="20" xfId="0" applyNumberFormat="1" applyFont="1" applyFill="1" applyBorder="1" applyAlignment="1" applyProtection="1">
      <alignment horizontal="right"/>
      <protection hidden="1"/>
    </xf>
    <xf numFmtId="0" fontId="27" fillId="3" borderId="3" xfId="0" applyFont="1" applyFill="1" applyBorder="1" applyProtection="1">
      <protection hidden="1"/>
    </xf>
    <xf numFmtId="0" fontId="27" fillId="3" borderId="4" xfId="0" applyFont="1" applyFill="1" applyBorder="1" applyProtection="1">
      <protection hidden="1"/>
    </xf>
    <xf numFmtId="0" fontId="52" fillId="3" borderId="22" xfId="0" applyFont="1" applyFill="1" applyBorder="1" applyProtection="1">
      <protection hidden="1"/>
    </xf>
    <xf numFmtId="0" fontId="27" fillId="3" borderId="16" xfId="0" applyFont="1" applyFill="1" applyBorder="1" applyProtection="1">
      <protection hidden="1"/>
    </xf>
    <xf numFmtId="0" fontId="26" fillId="3" borderId="31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Alignment="1" applyProtection="1">
      <alignment horizontal="center" vertical="center"/>
      <protection hidden="1"/>
    </xf>
    <xf numFmtId="0" fontId="27" fillId="3" borderId="153" xfId="0" applyFont="1" applyFill="1" applyBorder="1" applyProtection="1">
      <protection hidden="1"/>
    </xf>
    <xf numFmtId="0" fontId="52" fillId="3" borderId="134" xfId="0" applyFont="1" applyFill="1" applyBorder="1" applyProtection="1">
      <protection hidden="1"/>
    </xf>
    <xf numFmtId="0" fontId="27" fillId="3" borderId="31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Alignment="1" applyProtection="1">
      <alignment horizontal="center" vertic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0" fontId="29" fillId="3" borderId="17" xfId="0" applyFont="1" applyFill="1" applyBorder="1" applyProtection="1">
      <protection hidden="1"/>
    </xf>
    <xf numFmtId="0" fontId="64" fillId="3" borderId="0" xfId="0" applyFont="1" applyFill="1" applyProtection="1">
      <protection hidden="1"/>
    </xf>
    <xf numFmtId="0" fontId="57" fillId="3" borderId="31" xfId="0" applyFont="1" applyFill="1" applyBorder="1" applyProtection="1">
      <protection hidden="1"/>
    </xf>
    <xf numFmtId="0" fontId="27" fillId="3" borderId="133" xfId="0" applyFont="1" applyFill="1" applyBorder="1" applyProtection="1">
      <protection hidden="1"/>
    </xf>
    <xf numFmtId="0" fontId="27" fillId="3" borderId="152" xfId="0" applyFont="1" applyFill="1" applyBorder="1" applyProtection="1">
      <protection hidden="1"/>
    </xf>
    <xf numFmtId="0" fontId="27" fillId="3" borderId="138" xfId="0" applyFont="1" applyFill="1" applyBorder="1" applyProtection="1">
      <protection hidden="1"/>
    </xf>
    <xf numFmtId="0" fontId="57" fillId="3" borderId="3" xfId="0" applyFont="1" applyFill="1" applyBorder="1" applyProtection="1">
      <protection hidden="1"/>
    </xf>
    <xf numFmtId="0" fontId="50" fillId="3" borderId="40" xfId="0" applyFont="1" applyFill="1" applyBorder="1" applyAlignment="1" applyProtection="1">
      <alignment horizontal="left"/>
      <protection hidden="1"/>
    </xf>
    <xf numFmtId="0" fontId="26" fillId="3" borderId="40" xfId="0" applyFont="1" applyFill="1" applyBorder="1" applyAlignment="1" applyProtection="1">
      <alignment horizontal="left"/>
      <protection hidden="1"/>
    </xf>
    <xf numFmtId="169" fontId="57" fillId="3" borderId="0" xfId="0" applyNumberFormat="1" applyFont="1" applyFill="1" applyAlignment="1" applyProtection="1">
      <alignment horizontal="right"/>
      <protection hidden="1"/>
    </xf>
    <xf numFmtId="0" fontId="57" fillId="3" borderId="0" xfId="0" applyFont="1" applyFill="1" applyAlignment="1" applyProtection="1">
      <alignment horizontal="right"/>
      <protection hidden="1"/>
    </xf>
    <xf numFmtId="169" fontId="57" fillId="3" borderId="0" xfId="0" applyNumberFormat="1" applyFont="1" applyFill="1" applyBorder="1" applyAlignment="1" applyProtection="1">
      <alignment horizontal="right"/>
      <protection hidden="1"/>
    </xf>
    <xf numFmtId="0" fontId="27" fillId="3" borderId="154" xfId="0" applyFont="1" applyFill="1" applyBorder="1" applyProtection="1">
      <protection hidden="1"/>
    </xf>
    <xf numFmtId="0" fontId="27" fillId="3" borderId="152" xfId="0" applyFont="1" applyFill="1" applyBorder="1" applyAlignment="1" applyProtection="1">
      <alignment horizontal="right"/>
      <protection hidden="1"/>
    </xf>
    <xf numFmtId="0" fontId="78" fillId="3" borderId="0" xfId="0" applyFont="1" applyFill="1" applyBorder="1" applyProtection="1">
      <protection hidden="1"/>
    </xf>
    <xf numFmtId="14" fontId="27" fillId="3" borderId="0" xfId="0" applyNumberFormat="1" applyFont="1" applyFill="1" applyBorder="1" applyProtection="1">
      <protection hidden="1"/>
    </xf>
    <xf numFmtId="0" fontId="69" fillId="3" borderId="0" xfId="0" applyFont="1" applyFill="1" applyBorder="1" applyAlignment="1" applyProtection="1">
      <alignment horizontal="center"/>
      <protection hidden="1"/>
    </xf>
    <xf numFmtId="18" fontId="27" fillId="3" borderId="0" xfId="0" applyNumberFormat="1" applyFont="1" applyFill="1" applyBorder="1" applyProtection="1">
      <protection hidden="1"/>
    </xf>
    <xf numFmtId="0" fontId="79" fillId="3" borderId="139" xfId="0" applyFont="1" applyFill="1" applyBorder="1" applyProtection="1">
      <protection hidden="1"/>
    </xf>
    <xf numFmtId="0" fontId="79" fillId="3" borderId="0" xfId="0" applyFont="1" applyFill="1" applyBorder="1" applyProtection="1">
      <protection hidden="1"/>
    </xf>
    <xf numFmtId="0" fontId="80" fillId="3" borderId="0" xfId="0" applyFont="1" applyFill="1" applyBorder="1" applyProtection="1">
      <protection hidden="1"/>
    </xf>
    <xf numFmtId="14" fontId="27" fillId="3" borderId="135" xfId="0" applyNumberFormat="1" applyFont="1" applyFill="1" applyBorder="1" applyProtection="1">
      <protection hidden="1"/>
    </xf>
    <xf numFmtId="18" fontId="27" fillId="3" borderId="135" xfId="0" applyNumberFormat="1" applyFont="1" applyFill="1" applyBorder="1" applyProtection="1">
      <protection hidden="1"/>
    </xf>
    <xf numFmtId="0" fontId="27" fillId="3" borderId="137" xfId="0" applyFont="1" applyFill="1" applyBorder="1" applyProtection="1">
      <protection hidden="1"/>
    </xf>
    <xf numFmtId="0" fontId="27" fillId="3" borderId="139" xfId="0" applyFont="1" applyFill="1" applyBorder="1" applyAlignment="1" applyProtection="1">
      <alignment vertical="center"/>
      <protection hidden="1"/>
    </xf>
    <xf numFmtId="0" fontId="27" fillId="3" borderId="0" xfId="0" applyFont="1" applyFill="1" applyBorder="1" applyAlignment="1" applyProtection="1">
      <alignment horizontal="right" vertical="center"/>
      <protection hidden="1"/>
    </xf>
    <xf numFmtId="14" fontId="27" fillId="3" borderId="136" xfId="0" applyNumberFormat="1" applyFont="1" applyFill="1" applyBorder="1" applyProtection="1">
      <protection hidden="1"/>
    </xf>
    <xf numFmtId="18" fontId="27" fillId="3" borderId="136" xfId="0" applyNumberFormat="1" applyFont="1" applyFill="1" applyBorder="1" applyProtection="1">
      <protection hidden="1"/>
    </xf>
    <xf numFmtId="0" fontId="50" fillId="3" borderId="0" xfId="0" applyFont="1" applyFill="1" applyBorder="1" applyProtection="1">
      <protection hidden="1"/>
    </xf>
    <xf numFmtId="14" fontId="27" fillId="3" borderId="144" xfId="0" applyNumberFormat="1" applyFont="1" applyFill="1" applyBorder="1" applyProtection="1">
      <protection hidden="1"/>
    </xf>
    <xf numFmtId="18" fontId="27" fillId="3" borderId="144" xfId="0" applyNumberFormat="1" applyFont="1" applyFill="1" applyBorder="1" applyProtection="1">
      <protection hidden="1"/>
    </xf>
    <xf numFmtId="0" fontId="27" fillId="3" borderId="155" xfId="0" applyFont="1" applyFill="1" applyBorder="1" applyProtection="1">
      <protection hidden="1"/>
    </xf>
    <xf numFmtId="0" fontId="27" fillId="3" borderId="156" xfId="0" applyFont="1" applyFill="1" applyBorder="1" applyProtection="1">
      <protection hidden="1"/>
    </xf>
    <xf numFmtId="0" fontId="27" fillId="3" borderId="159" xfId="0" applyFont="1" applyFill="1" applyBorder="1" applyProtection="1">
      <protection hidden="1"/>
    </xf>
    <xf numFmtId="0" fontId="27" fillId="3" borderId="157" xfId="0" applyFont="1" applyFill="1" applyBorder="1" applyAlignment="1" applyProtection="1">
      <alignment vertical="center"/>
      <protection hidden="1"/>
    </xf>
    <xf numFmtId="0" fontId="27" fillId="3" borderId="158" xfId="0" applyFont="1" applyFill="1" applyBorder="1" applyAlignment="1" applyProtection="1">
      <alignment vertical="center"/>
      <protection hidden="1"/>
    </xf>
    <xf numFmtId="0" fontId="27" fillId="3" borderId="237" xfId="0" applyFont="1" applyFill="1" applyBorder="1" applyAlignment="1" applyProtection="1">
      <alignment vertical="center"/>
      <protection hidden="1"/>
    </xf>
    <xf numFmtId="0" fontId="27" fillId="3" borderId="0" xfId="0" quotePrefix="1" applyFont="1" applyFill="1" applyBorder="1" applyProtection="1">
      <protection hidden="1"/>
    </xf>
    <xf numFmtId="0" fontId="27" fillId="3" borderId="143" xfId="0" quotePrefix="1" applyFont="1" applyFill="1" applyBorder="1" applyProtection="1">
      <protection hidden="1"/>
    </xf>
    <xf numFmtId="0" fontId="27" fillId="3" borderId="141" xfId="0" applyFont="1" applyFill="1" applyBorder="1" applyProtection="1">
      <protection hidden="1"/>
    </xf>
    <xf numFmtId="14" fontId="27" fillId="3" borderId="0" xfId="0" applyNumberFormat="1" applyFont="1" applyFill="1" applyProtection="1">
      <protection hidden="1"/>
    </xf>
    <xf numFmtId="18" fontId="27" fillId="3" borderId="0" xfId="0" applyNumberFormat="1" applyFont="1" applyFill="1" applyProtection="1">
      <protection hidden="1"/>
    </xf>
    <xf numFmtId="1" fontId="33" fillId="3" borderId="169" xfId="0" applyNumberFormat="1" applyFont="1" applyFill="1" applyBorder="1" applyAlignment="1" applyProtection="1">
      <alignment horizontal="right"/>
      <protection locked="0"/>
    </xf>
    <xf numFmtId="1" fontId="43" fillId="3" borderId="169" xfId="0" applyNumberFormat="1" applyFont="1" applyFill="1" applyBorder="1" applyProtection="1">
      <protection locked="0"/>
    </xf>
    <xf numFmtId="20" fontId="39" fillId="3" borderId="0" xfId="0" applyNumberFormat="1" applyFont="1" applyFill="1" applyProtection="1">
      <protection hidden="1"/>
    </xf>
    <xf numFmtId="0" fontId="28" fillId="3" borderId="31" xfId="0" applyFont="1" applyFill="1" applyBorder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right"/>
      <protection hidden="1"/>
    </xf>
    <xf numFmtId="0" fontId="27" fillId="3" borderId="143" xfId="0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31" xfId="0" applyFont="1" applyFill="1" applyBorder="1" applyAlignment="1" applyProtection="1">
      <alignment horizontal="left"/>
      <protection hidden="1"/>
    </xf>
    <xf numFmtId="0" fontId="27" fillId="3" borderId="0" xfId="0" applyFont="1" applyFill="1" applyBorder="1" applyAlignment="1" applyProtection="1">
      <alignment horizontal="right"/>
      <protection hidden="1"/>
    </xf>
    <xf numFmtId="0" fontId="27" fillId="3" borderId="140" xfId="0" applyFont="1" applyFill="1" applyBorder="1" applyAlignment="1" applyProtection="1">
      <alignment horizontal="right"/>
      <protection hidden="1"/>
    </xf>
    <xf numFmtId="0" fontId="26" fillId="3" borderId="31" xfId="0" applyFont="1" applyFill="1" applyBorder="1" applyAlignment="1" applyProtection="1">
      <alignment horizontal="right"/>
      <protection hidden="1"/>
    </xf>
    <xf numFmtId="0" fontId="26" fillId="3" borderId="143" xfId="0" applyFont="1" applyFill="1" applyBorder="1" applyAlignment="1" applyProtection="1">
      <alignment horizontal="left"/>
      <protection hidden="1"/>
    </xf>
    <xf numFmtId="169" fontId="28" fillId="3" borderId="135" xfId="0" applyNumberFormat="1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right"/>
      <protection hidden="1"/>
    </xf>
    <xf numFmtId="0" fontId="26" fillId="3" borderId="0" xfId="0" applyFont="1" applyFill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6" fillId="0" borderId="54" xfId="0" applyFont="1" applyBorder="1" applyAlignment="1" applyProtection="1">
      <alignment horizontal="center" vertical="center"/>
      <protection hidden="1"/>
    </xf>
    <xf numFmtId="166" fontId="85" fillId="4" borderId="224" xfId="0" applyNumberFormat="1" applyFont="1" applyFill="1" applyBorder="1" applyAlignment="1" applyProtection="1">
      <alignment horizontal="center"/>
      <protection locked="0"/>
    </xf>
    <xf numFmtId="166" fontId="85" fillId="4" borderId="225" xfId="0" applyNumberFormat="1" applyFont="1" applyFill="1" applyBorder="1" applyAlignment="1" applyProtection="1">
      <alignment horizontal="center"/>
      <protection locked="0"/>
    </xf>
    <xf numFmtId="2" fontId="33" fillId="3" borderId="170" xfId="0" applyNumberFormat="1" applyFont="1" applyFill="1" applyBorder="1" applyAlignment="1" applyProtection="1">
      <alignment horizontal="right"/>
      <protection locked="0"/>
    </xf>
    <xf numFmtId="2" fontId="33" fillId="3" borderId="172" xfId="0" applyNumberFormat="1" applyFont="1" applyFill="1" applyBorder="1" applyAlignment="1" applyProtection="1">
      <alignment horizontal="right"/>
      <protection locked="0"/>
    </xf>
    <xf numFmtId="0" fontId="3" fillId="3" borderId="0" xfId="0" applyFont="1" applyFill="1" applyAlignment="1" applyProtection="1">
      <alignment horizontal="center"/>
      <protection hidden="1"/>
    </xf>
    <xf numFmtId="4" fontId="90" fillId="3" borderId="19" xfId="0" applyNumberFormat="1" applyFont="1" applyFill="1" applyBorder="1" applyAlignment="1" applyProtection="1">
      <alignment horizontal="center"/>
      <protection hidden="1"/>
    </xf>
    <xf numFmtId="0" fontId="90" fillId="3" borderId="20" xfId="0" applyFont="1" applyFill="1" applyBorder="1" applyAlignment="1" applyProtection="1">
      <alignment horizontal="center"/>
      <protection hidden="1"/>
    </xf>
    <xf numFmtId="0" fontId="3" fillId="3" borderId="17" xfId="0" applyFont="1" applyFill="1" applyBorder="1" applyAlignment="1" applyProtection="1">
      <alignment horizontal="center"/>
      <protection hidden="1"/>
    </xf>
    <xf numFmtId="0" fontId="3" fillId="3" borderId="18" xfId="0" applyFont="1" applyFill="1" applyBorder="1" applyAlignment="1" applyProtection="1">
      <alignment horizontal="center"/>
      <protection hidden="1"/>
    </xf>
    <xf numFmtId="0" fontId="26" fillId="3" borderId="17" xfId="0" applyFont="1" applyFill="1" applyBorder="1" applyAlignment="1" applyProtection="1">
      <alignment horizontal="right"/>
      <protection hidden="1"/>
    </xf>
    <xf numFmtId="0" fontId="26" fillId="3" borderId="22" xfId="0" applyFont="1" applyFill="1" applyBorder="1" applyAlignment="1" applyProtection="1">
      <alignment horizontal="right"/>
      <protection hidden="1"/>
    </xf>
    <xf numFmtId="4" fontId="27" fillId="3" borderId="40" xfId="0" applyNumberFormat="1" applyFont="1" applyFill="1" applyBorder="1" applyAlignment="1" applyProtection="1">
      <alignment horizontal="center"/>
      <protection hidden="1"/>
    </xf>
    <xf numFmtId="4" fontId="27" fillId="3" borderId="22" xfId="0" applyNumberFormat="1" applyFont="1" applyFill="1" applyBorder="1" applyAlignment="1" applyProtection="1">
      <alignment horizontal="center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28" fillId="3" borderId="179" xfId="0" applyFont="1" applyFill="1" applyBorder="1" applyAlignment="1" applyProtection="1">
      <alignment horizontal="left"/>
      <protection hidden="1"/>
    </xf>
    <xf numFmtId="0" fontId="28" fillId="3" borderId="180" xfId="0" applyFont="1" applyFill="1" applyBorder="1" applyAlignment="1" applyProtection="1">
      <alignment horizontal="left"/>
      <protection hidden="1"/>
    </xf>
    <xf numFmtId="0" fontId="83" fillId="3" borderId="0" xfId="0" applyFont="1" applyFill="1" applyAlignment="1" applyProtection="1">
      <alignment horizontal="left"/>
      <protection hidden="1"/>
    </xf>
    <xf numFmtId="4" fontId="84" fillId="3" borderId="0" xfId="0" applyNumberFormat="1" applyFont="1" applyFill="1" applyAlignment="1" applyProtection="1">
      <alignment horizontal="center"/>
      <protection hidden="1"/>
    </xf>
    <xf numFmtId="0" fontId="84" fillId="3" borderId="0" xfId="0" applyFont="1" applyFill="1" applyAlignment="1" applyProtection="1">
      <alignment horizontal="center"/>
      <protection hidden="1"/>
    </xf>
    <xf numFmtId="0" fontId="83" fillId="3" borderId="5" xfId="0" applyFont="1" applyFill="1" applyBorder="1" applyAlignment="1" applyProtection="1">
      <alignment horizontal="center"/>
      <protection hidden="1"/>
    </xf>
    <xf numFmtId="166" fontId="90" fillId="3" borderId="2" xfId="0" applyNumberFormat="1" applyFont="1" applyFill="1" applyBorder="1" applyAlignment="1" applyProtection="1">
      <alignment horizontal="center"/>
      <protection hidden="1"/>
    </xf>
    <xf numFmtId="166" fontId="90" fillId="3" borderId="4" xfId="0" applyNumberFormat="1" applyFont="1" applyFill="1" applyBorder="1" applyAlignment="1" applyProtection="1">
      <alignment horizontal="center"/>
      <protection hidden="1"/>
    </xf>
    <xf numFmtId="169" fontId="65" fillId="3" borderId="229" xfId="0" applyNumberFormat="1" applyFont="1" applyFill="1" applyBorder="1" applyAlignment="1" applyProtection="1">
      <alignment horizontal="right" shrinkToFit="1"/>
      <protection hidden="1"/>
    </xf>
    <xf numFmtId="169" fontId="65" fillId="3" borderId="230" xfId="0" applyNumberFormat="1" applyFont="1" applyFill="1" applyBorder="1" applyAlignment="1" applyProtection="1">
      <alignment horizontal="right" shrinkToFit="1"/>
      <protection hidden="1"/>
    </xf>
    <xf numFmtId="0" fontId="83" fillId="3" borderId="1" xfId="0" applyFont="1" applyFill="1" applyBorder="1" applyAlignment="1" applyProtection="1">
      <alignment horizontal="left"/>
      <protection hidden="1"/>
    </xf>
    <xf numFmtId="0" fontId="83" fillId="3" borderId="2" xfId="0" applyFont="1" applyFill="1" applyBorder="1" applyAlignment="1" applyProtection="1">
      <alignment horizontal="left"/>
      <protection hidden="1"/>
    </xf>
    <xf numFmtId="2" fontId="86" fillId="4" borderId="154" xfId="0" applyNumberFormat="1" applyFont="1" applyFill="1" applyBorder="1" applyAlignment="1" applyProtection="1">
      <alignment horizontal="center"/>
      <protection locked="0"/>
    </xf>
    <xf numFmtId="2" fontId="86" fillId="4" borderId="152" xfId="0" applyNumberFormat="1" applyFont="1" applyFill="1" applyBorder="1" applyAlignment="1" applyProtection="1">
      <alignment horizontal="center"/>
      <protection locked="0"/>
    </xf>
    <xf numFmtId="2" fontId="33" fillId="3" borderId="170" xfId="0" applyNumberFormat="1" applyFont="1" applyFill="1" applyBorder="1" applyAlignment="1" applyProtection="1">
      <alignment horizontal="left" vertical="center"/>
      <protection locked="0"/>
    </xf>
    <xf numFmtId="2" fontId="33" fillId="3" borderId="171" xfId="0" applyNumberFormat="1" applyFont="1" applyFill="1" applyBorder="1" applyAlignment="1" applyProtection="1">
      <alignment horizontal="left" vertical="center"/>
      <protection locked="0"/>
    </xf>
    <xf numFmtId="2" fontId="33" fillId="3" borderId="172" xfId="0" applyNumberFormat="1" applyFont="1" applyFill="1" applyBorder="1" applyAlignment="1" applyProtection="1">
      <alignment horizontal="left" vertical="center"/>
      <protection locked="0"/>
    </xf>
    <xf numFmtId="2" fontId="42" fillId="3" borderId="172" xfId="0" applyNumberFormat="1" applyFont="1" applyFill="1" applyBorder="1" applyAlignment="1" applyProtection="1">
      <alignment horizontal="right"/>
      <protection locked="0"/>
    </xf>
    <xf numFmtId="0" fontId="28" fillId="3" borderId="31" xfId="0" applyFont="1" applyFill="1" applyBorder="1" applyAlignment="1" applyProtection="1">
      <alignment horizontal="right"/>
      <protection hidden="1"/>
    </xf>
    <xf numFmtId="0" fontId="28" fillId="3" borderId="0" xfId="0" applyFont="1" applyFill="1" applyAlignment="1" applyProtection="1">
      <alignment horizontal="right"/>
      <protection hidden="1"/>
    </xf>
    <xf numFmtId="4" fontId="41" fillId="3" borderId="170" xfId="0" applyNumberFormat="1" applyFont="1" applyFill="1" applyBorder="1" applyAlignment="1" applyProtection="1">
      <alignment horizontal="right"/>
      <protection locked="0"/>
    </xf>
    <xf numFmtId="4" fontId="41" fillId="3" borderId="172" xfId="0" applyNumberFormat="1" applyFont="1" applyFill="1" applyBorder="1" applyAlignment="1" applyProtection="1">
      <alignment horizontal="right"/>
      <protection locked="0"/>
    </xf>
    <xf numFmtId="0" fontId="27" fillId="3" borderId="0" xfId="0" applyFont="1" applyFill="1" applyAlignment="1" applyProtection="1">
      <alignment horizontal="right"/>
      <protection hidden="1"/>
    </xf>
    <xf numFmtId="0" fontId="26" fillId="3" borderId="0" xfId="0" applyFont="1" applyFill="1" applyAlignment="1" applyProtection="1">
      <alignment horizontal="right"/>
      <protection hidden="1"/>
    </xf>
    <xf numFmtId="0" fontId="26" fillId="3" borderId="19" xfId="0" applyFont="1" applyFill="1" applyBorder="1" applyAlignment="1" applyProtection="1">
      <alignment horizontal="right"/>
      <protection hidden="1"/>
    </xf>
    <xf numFmtId="0" fontId="26" fillId="3" borderId="40" xfId="0" applyFont="1" applyFill="1" applyBorder="1" applyAlignment="1" applyProtection="1">
      <alignment horizontal="right"/>
      <protection hidden="1"/>
    </xf>
    <xf numFmtId="4" fontId="41" fillId="3" borderId="179" xfId="0" applyNumberFormat="1" applyFont="1" applyFill="1" applyBorder="1" applyAlignment="1" applyProtection="1">
      <alignment horizontal="right"/>
      <protection locked="0"/>
    </xf>
    <xf numFmtId="4" fontId="41" fillId="3" borderId="180" xfId="0" applyNumberFormat="1" applyFont="1" applyFill="1" applyBorder="1" applyAlignment="1" applyProtection="1">
      <alignment horizontal="right"/>
      <protection locked="0"/>
    </xf>
    <xf numFmtId="4" fontId="41" fillId="3" borderId="170" xfId="0" applyNumberFormat="1" applyFont="1" applyFill="1" applyBorder="1" applyAlignment="1" applyProtection="1">
      <alignment horizontal="right" vertical="center"/>
      <protection locked="0"/>
    </xf>
    <xf numFmtId="4" fontId="41" fillId="3" borderId="172" xfId="0" applyNumberFormat="1" applyFont="1" applyFill="1" applyBorder="1" applyAlignment="1" applyProtection="1">
      <alignment horizontal="right" vertical="center"/>
      <protection locked="0"/>
    </xf>
    <xf numFmtId="0" fontId="46" fillId="3" borderId="31" xfId="0" applyFont="1" applyFill="1" applyBorder="1" applyAlignment="1" applyProtection="1">
      <alignment horizontal="left" wrapText="1"/>
      <protection hidden="1"/>
    </xf>
    <xf numFmtId="0" fontId="46" fillId="3" borderId="0" xfId="0" applyFont="1" applyFill="1" applyAlignment="1" applyProtection="1">
      <alignment horizontal="left" wrapText="1"/>
      <protection hidden="1"/>
    </xf>
    <xf numFmtId="0" fontId="44" fillId="3" borderId="6" xfId="0" applyFont="1" applyFill="1" applyBorder="1" applyAlignment="1" applyProtection="1">
      <alignment horizontal="center"/>
      <protection hidden="1"/>
    </xf>
    <xf numFmtId="0" fontId="44" fillId="3" borderId="46" xfId="0" applyFont="1" applyFill="1" applyBorder="1" applyAlignment="1" applyProtection="1">
      <alignment horizontal="center"/>
      <protection hidden="1"/>
    </xf>
    <xf numFmtId="0" fontId="44" fillId="3" borderId="164" xfId="0" applyFont="1" applyFill="1" applyBorder="1" applyAlignment="1" applyProtection="1">
      <alignment horizontal="center"/>
      <protection hidden="1"/>
    </xf>
    <xf numFmtId="0" fontId="44" fillId="3" borderId="56" xfId="0" applyFont="1" applyFill="1" applyBorder="1" applyAlignment="1" applyProtection="1">
      <alignment horizontal="center"/>
      <protection hidden="1"/>
    </xf>
    <xf numFmtId="0" fontId="44" fillId="3" borderId="47" xfId="0" applyFont="1" applyFill="1" applyBorder="1" applyAlignment="1" applyProtection="1">
      <alignment horizontal="center"/>
      <protection hidden="1"/>
    </xf>
    <xf numFmtId="49" fontId="33" fillId="3" borderId="170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1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2" xfId="0" applyNumberFormat="1" applyFont="1" applyFill="1" applyBorder="1" applyAlignment="1" applyProtection="1">
      <alignment horizontal="left" vertical="center" shrinkToFit="1"/>
      <protection locked="0"/>
    </xf>
    <xf numFmtId="14" fontId="33" fillId="3" borderId="170" xfId="0" applyNumberFormat="1" applyFont="1" applyFill="1" applyBorder="1" applyAlignment="1" applyProtection="1">
      <alignment horizontal="left"/>
      <protection locked="0"/>
    </xf>
    <xf numFmtId="14" fontId="33" fillId="3" borderId="171" xfId="0" applyNumberFormat="1" applyFont="1" applyFill="1" applyBorder="1" applyAlignment="1" applyProtection="1">
      <alignment horizontal="left"/>
      <protection locked="0"/>
    </xf>
    <xf numFmtId="14" fontId="33" fillId="3" borderId="172" xfId="0" applyNumberFormat="1" applyFont="1" applyFill="1" applyBorder="1" applyAlignment="1" applyProtection="1">
      <alignment horizontal="left"/>
      <protection locked="0"/>
    </xf>
    <xf numFmtId="165" fontId="33" fillId="3" borderId="170" xfId="0" applyNumberFormat="1" applyFont="1" applyFill="1" applyBorder="1" applyAlignment="1" applyProtection="1">
      <alignment horizontal="center"/>
      <protection locked="0"/>
    </xf>
    <xf numFmtId="165" fontId="33" fillId="3" borderId="172" xfId="0" applyNumberFormat="1" applyFont="1" applyFill="1" applyBorder="1" applyAlignment="1" applyProtection="1">
      <alignment horizontal="center"/>
      <protection locked="0"/>
    </xf>
    <xf numFmtId="14" fontId="33" fillId="3" borderId="170" xfId="0" applyNumberFormat="1" applyFont="1" applyFill="1" applyBorder="1" applyAlignment="1" applyProtection="1">
      <alignment horizontal="center"/>
      <protection locked="0"/>
    </xf>
    <xf numFmtId="14" fontId="33" fillId="3" borderId="171" xfId="0" applyNumberFormat="1" applyFont="1" applyFill="1" applyBorder="1" applyAlignment="1" applyProtection="1">
      <alignment horizontal="center"/>
      <protection locked="0"/>
    </xf>
    <xf numFmtId="14" fontId="33" fillId="3" borderId="172" xfId="0" applyNumberFormat="1" applyFont="1" applyFill="1" applyBorder="1" applyAlignment="1" applyProtection="1">
      <alignment horizontal="center"/>
      <protection locked="0"/>
    </xf>
    <xf numFmtId="169" fontId="33" fillId="3" borderId="170" xfId="0" applyNumberFormat="1" applyFont="1" applyFill="1" applyBorder="1" applyAlignment="1" applyProtection="1">
      <alignment horizontal="left" shrinkToFit="1"/>
      <protection locked="0"/>
    </xf>
    <xf numFmtId="169" fontId="33" fillId="3" borderId="171" xfId="0" applyNumberFormat="1" applyFont="1" applyFill="1" applyBorder="1" applyAlignment="1" applyProtection="1">
      <alignment horizontal="left" shrinkToFit="1"/>
      <protection locked="0"/>
    </xf>
    <xf numFmtId="169" fontId="33" fillId="3" borderId="172" xfId="0" applyNumberFormat="1" applyFont="1" applyFill="1" applyBorder="1" applyAlignment="1" applyProtection="1">
      <alignment horizontal="left" shrinkToFit="1"/>
      <protection locked="0"/>
    </xf>
    <xf numFmtId="49" fontId="33" fillId="3" borderId="174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5" xfId="0" applyNumberFormat="1" applyFont="1" applyFill="1" applyBorder="1" applyAlignment="1" applyProtection="1">
      <alignment horizontal="left" vertical="center" shrinkToFit="1"/>
      <protection locked="0"/>
    </xf>
    <xf numFmtId="49" fontId="33" fillId="3" borderId="173" xfId="0" applyNumberFormat="1" applyFont="1" applyFill="1" applyBorder="1" applyAlignment="1" applyProtection="1">
      <alignment horizontal="left" vertical="center" shrinkToFit="1"/>
      <protection locked="0"/>
    </xf>
    <xf numFmtId="2" fontId="44" fillId="3" borderId="0" xfId="0" applyNumberFormat="1" applyFont="1" applyFill="1" applyBorder="1" applyAlignment="1" applyProtection="1">
      <alignment horizontal="center"/>
      <protection hidden="1"/>
    </xf>
    <xf numFmtId="169" fontId="54" fillId="3" borderId="0" xfId="0" applyNumberFormat="1" applyFont="1" applyFill="1" applyBorder="1" applyAlignment="1" applyProtection="1">
      <alignment horizontal="right" vertical="center"/>
      <protection hidden="1"/>
    </xf>
    <xf numFmtId="0" fontId="55" fillId="3" borderId="0" xfId="0" applyFont="1" applyFill="1" applyBorder="1" applyAlignment="1" applyProtection="1">
      <alignment horizontal="right" vertical="center"/>
      <protection hidden="1"/>
    </xf>
    <xf numFmtId="0" fontId="55" fillId="3" borderId="140" xfId="0" applyFont="1" applyFill="1" applyBorder="1" applyAlignment="1" applyProtection="1">
      <alignment horizontal="right" vertical="center"/>
      <protection hidden="1"/>
    </xf>
    <xf numFmtId="4" fontId="44" fillId="3" borderId="139" xfId="0" applyNumberFormat="1" applyFont="1" applyFill="1" applyBorder="1" applyAlignment="1" applyProtection="1">
      <alignment horizontal="center" vertical="center"/>
      <protection hidden="1"/>
    </xf>
    <xf numFmtId="4" fontId="44" fillId="3" borderId="0" xfId="0" applyNumberFormat="1" applyFont="1" applyFill="1" applyBorder="1" applyAlignment="1" applyProtection="1">
      <alignment horizontal="center" vertical="center"/>
      <protection hidden="1"/>
    </xf>
    <xf numFmtId="169" fontId="54" fillId="3" borderId="171" xfId="0" applyNumberFormat="1" applyFont="1" applyFill="1" applyBorder="1" applyAlignment="1" applyProtection="1">
      <alignment horizontal="right" vertical="center"/>
      <protection hidden="1"/>
    </xf>
    <xf numFmtId="169" fontId="54" fillId="3" borderId="172" xfId="0" applyNumberFormat="1" applyFont="1" applyFill="1" applyBorder="1" applyAlignment="1" applyProtection="1">
      <alignment horizontal="right" vertical="center"/>
      <protection hidden="1"/>
    </xf>
    <xf numFmtId="4" fontId="53" fillId="3" borderId="170" xfId="0" applyNumberFormat="1" applyFont="1" applyFill="1" applyBorder="1" applyAlignment="1" applyProtection="1">
      <alignment horizontal="right" vertical="center"/>
      <protection locked="0"/>
    </xf>
    <xf numFmtId="4" fontId="56" fillId="3" borderId="171" xfId="0" applyNumberFormat="1" applyFont="1" applyFill="1" applyBorder="1" applyAlignment="1" applyProtection="1">
      <alignment horizontal="right" vertical="center"/>
      <protection locked="0"/>
    </xf>
    <xf numFmtId="4" fontId="56" fillId="3" borderId="172" xfId="0" applyNumberFormat="1" applyFont="1" applyFill="1" applyBorder="1" applyAlignment="1" applyProtection="1">
      <alignment horizontal="right" vertical="center"/>
      <protection locked="0"/>
    </xf>
    <xf numFmtId="4" fontId="53" fillId="3" borderId="170" xfId="0" applyNumberFormat="1" applyFont="1" applyFill="1" applyBorder="1" applyAlignment="1" applyProtection="1">
      <alignment horizontal="right"/>
      <protection locked="0"/>
    </xf>
    <xf numFmtId="4" fontId="53" fillId="3" borderId="171" xfId="0" applyNumberFormat="1" applyFont="1" applyFill="1" applyBorder="1" applyAlignment="1" applyProtection="1">
      <alignment horizontal="right"/>
      <protection locked="0"/>
    </xf>
    <xf numFmtId="4" fontId="53" fillId="3" borderId="172" xfId="0" applyNumberFormat="1" applyFont="1" applyFill="1" applyBorder="1" applyAlignment="1" applyProtection="1">
      <alignment horizontal="right"/>
      <protection locked="0"/>
    </xf>
    <xf numFmtId="0" fontId="28" fillId="3" borderId="0" xfId="0" applyFont="1" applyFill="1" applyBorder="1" applyAlignment="1" applyProtection="1">
      <alignment horizontal="right"/>
      <protection hidden="1"/>
    </xf>
    <xf numFmtId="4" fontId="51" fillId="3" borderId="217" xfId="0" applyNumberFormat="1" applyFont="1" applyFill="1" applyBorder="1" applyAlignment="1" applyProtection="1">
      <alignment horizontal="right"/>
      <protection hidden="1"/>
    </xf>
    <xf numFmtId="4" fontId="51" fillId="3" borderId="218" xfId="0" applyNumberFormat="1" applyFont="1" applyFill="1" applyBorder="1" applyAlignment="1" applyProtection="1">
      <alignment horizontal="right"/>
      <protection hidden="1"/>
    </xf>
    <xf numFmtId="4" fontId="51" fillId="3" borderId="219" xfId="0" applyNumberFormat="1" applyFont="1" applyFill="1" applyBorder="1" applyAlignment="1" applyProtection="1">
      <alignment horizontal="right"/>
      <protection hidden="1"/>
    </xf>
    <xf numFmtId="4" fontId="51" fillId="3" borderId="216" xfId="0" applyNumberFormat="1" applyFont="1" applyFill="1" applyBorder="1" applyAlignment="1" applyProtection="1">
      <alignment horizontal="right"/>
      <protection hidden="1"/>
    </xf>
    <xf numFmtId="4" fontId="53" fillId="3" borderId="171" xfId="0" applyNumberFormat="1" applyFont="1" applyFill="1" applyBorder="1" applyAlignment="1" applyProtection="1">
      <alignment horizontal="right" vertical="center"/>
      <protection locked="0"/>
    </xf>
    <xf numFmtId="4" fontId="53" fillId="3" borderId="172" xfId="0" applyNumberFormat="1" applyFont="1" applyFill="1" applyBorder="1" applyAlignment="1" applyProtection="1">
      <alignment horizontal="right" vertical="center"/>
      <protection locked="0"/>
    </xf>
    <xf numFmtId="4" fontId="42" fillId="3" borderId="0" xfId="0" applyNumberFormat="1" applyFont="1" applyFill="1" applyBorder="1" applyAlignment="1" applyProtection="1">
      <alignment horizontal="center"/>
      <protection hidden="1"/>
    </xf>
    <xf numFmtId="4" fontId="53" fillId="3" borderId="0" xfId="0" applyNumberFormat="1" applyFont="1" applyFill="1" applyBorder="1" applyAlignment="1" applyProtection="1">
      <alignment horizontal="right" vertical="center"/>
      <protection locked="0"/>
    </xf>
    <xf numFmtId="4" fontId="58" fillId="3" borderId="140" xfId="0" applyNumberFormat="1" applyFont="1" applyFill="1" applyBorder="1" applyAlignment="1" applyProtection="1">
      <alignment horizontal="right" vertical="center"/>
      <protection locked="0"/>
    </xf>
    <xf numFmtId="4" fontId="42" fillId="3" borderId="139" xfId="0" applyNumberFormat="1" applyFont="1" applyFill="1" applyBorder="1" applyAlignment="1" applyProtection="1">
      <alignment horizontal="center" vertical="center"/>
      <protection hidden="1"/>
    </xf>
    <xf numFmtId="4" fontId="42" fillId="3" borderId="0" xfId="0" applyNumberFormat="1" applyFont="1" applyFill="1" applyBorder="1" applyAlignment="1" applyProtection="1">
      <alignment horizontal="center" vertical="center"/>
      <protection hidden="1"/>
    </xf>
    <xf numFmtId="4" fontId="53" fillId="3" borderId="140" xfId="0" applyNumberFormat="1" applyFont="1" applyFill="1" applyBorder="1" applyAlignment="1" applyProtection="1">
      <alignment horizontal="right" vertical="center"/>
      <protection locked="0"/>
    </xf>
    <xf numFmtId="2" fontId="42" fillId="3" borderId="0" xfId="0" applyNumberFormat="1" applyFont="1" applyFill="1" applyBorder="1" applyAlignment="1" applyProtection="1">
      <alignment horizontal="center"/>
      <protection hidden="1"/>
    </xf>
    <xf numFmtId="4" fontId="59" fillId="3" borderId="140" xfId="0" applyNumberFormat="1" applyFont="1" applyFill="1" applyBorder="1" applyAlignment="1" applyProtection="1">
      <alignment horizontal="right" vertical="center"/>
      <protection locked="0"/>
    </xf>
    <xf numFmtId="169" fontId="42" fillId="3" borderId="139" xfId="0" applyNumberFormat="1" applyFont="1" applyFill="1" applyBorder="1" applyAlignment="1" applyProtection="1">
      <alignment horizontal="center" vertical="center"/>
      <protection hidden="1"/>
    </xf>
    <xf numFmtId="169" fontId="42" fillId="3" borderId="0" xfId="0" applyNumberFormat="1" applyFont="1" applyFill="1" applyBorder="1" applyAlignment="1" applyProtection="1">
      <alignment horizontal="center" vertical="center"/>
      <protection hidden="1"/>
    </xf>
    <xf numFmtId="4" fontId="42" fillId="3" borderId="135" xfId="0" applyNumberFormat="1" applyFont="1" applyFill="1" applyBorder="1" applyAlignment="1" applyProtection="1">
      <alignment horizontal="center"/>
      <protection hidden="1"/>
    </xf>
    <xf numFmtId="4" fontId="53" fillId="3" borderId="135" xfId="0" applyNumberFormat="1" applyFont="1" applyFill="1" applyBorder="1" applyAlignment="1" applyProtection="1">
      <alignment horizontal="right" vertical="center"/>
      <protection locked="0"/>
    </xf>
    <xf numFmtId="4" fontId="53" fillId="3" borderId="136" xfId="0" applyNumberFormat="1" applyFont="1" applyFill="1" applyBorder="1" applyAlignment="1" applyProtection="1">
      <alignment horizontal="right" vertical="center"/>
      <protection locked="0"/>
    </xf>
    <xf numFmtId="4" fontId="42" fillId="3" borderId="134" xfId="0" applyNumberFormat="1" applyFont="1" applyFill="1" applyBorder="1" applyAlignment="1" applyProtection="1">
      <alignment horizontal="center" vertical="center"/>
      <protection hidden="1"/>
    </xf>
    <xf numFmtId="4" fontId="42" fillId="3" borderId="135" xfId="0" applyNumberFormat="1" applyFont="1" applyFill="1" applyBorder="1" applyAlignment="1" applyProtection="1">
      <alignment horizontal="center" vertical="center"/>
      <protection hidden="1"/>
    </xf>
    <xf numFmtId="4" fontId="44" fillId="3" borderId="170" xfId="0" applyNumberFormat="1" applyFont="1" applyFill="1" applyBorder="1" applyAlignment="1" applyProtection="1">
      <alignment horizontal="center"/>
      <protection hidden="1"/>
    </xf>
    <xf numFmtId="4" fontId="44" fillId="3" borderId="172" xfId="0" applyNumberFormat="1" applyFont="1" applyFill="1" applyBorder="1" applyAlignment="1" applyProtection="1">
      <alignment horizontal="center"/>
      <protection hidden="1"/>
    </xf>
    <xf numFmtId="169" fontId="54" fillId="3" borderId="170" xfId="0" applyNumberFormat="1" applyFont="1" applyFill="1" applyBorder="1" applyAlignment="1" applyProtection="1">
      <alignment horizontal="right" vertical="center"/>
      <protection hidden="1"/>
    </xf>
    <xf numFmtId="169" fontId="44" fillId="3" borderId="170" xfId="0" applyNumberFormat="1" applyFont="1" applyFill="1" applyBorder="1" applyAlignment="1" applyProtection="1">
      <alignment horizontal="center" vertical="center"/>
      <protection hidden="1"/>
    </xf>
    <xf numFmtId="169" fontId="44" fillId="3" borderId="172" xfId="0" applyNumberFormat="1" applyFont="1" applyFill="1" applyBorder="1" applyAlignment="1" applyProtection="1">
      <alignment horizontal="center" vertical="center"/>
      <protection hidden="1"/>
    </xf>
    <xf numFmtId="2" fontId="42" fillId="3" borderId="143" xfId="0" applyNumberFormat="1" applyFont="1" applyFill="1" applyBorder="1" applyAlignment="1" applyProtection="1">
      <alignment horizontal="center"/>
      <protection hidden="1"/>
    </xf>
    <xf numFmtId="4" fontId="53" fillId="3" borderId="143" xfId="0" applyNumberFormat="1" applyFont="1" applyFill="1" applyBorder="1" applyAlignment="1" applyProtection="1">
      <alignment horizontal="right" vertical="center"/>
      <protection locked="0"/>
    </xf>
    <xf numFmtId="4" fontId="59" fillId="3" borderId="144" xfId="0" applyNumberFormat="1" applyFont="1" applyFill="1" applyBorder="1" applyAlignment="1" applyProtection="1">
      <alignment horizontal="right" vertical="center"/>
      <protection locked="0"/>
    </xf>
    <xf numFmtId="169" fontId="42" fillId="3" borderId="142" xfId="0" applyNumberFormat="1" applyFont="1" applyFill="1" applyBorder="1" applyAlignment="1" applyProtection="1">
      <alignment horizontal="center" vertical="center"/>
      <protection hidden="1"/>
    </xf>
    <xf numFmtId="169" fontId="42" fillId="3" borderId="143" xfId="0" applyNumberFormat="1" applyFont="1" applyFill="1" applyBorder="1" applyAlignment="1" applyProtection="1">
      <alignment horizontal="center" vertical="center"/>
      <protection hidden="1"/>
    </xf>
    <xf numFmtId="4" fontId="53" fillId="3" borderId="144" xfId="0" applyNumberFormat="1" applyFont="1" applyFill="1" applyBorder="1" applyAlignment="1" applyProtection="1">
      <alignment horizontal="right" vertical="center"/>
      <protection locked="0"/>
    </xf>
    <xf numFmtId="0" fontId="45" fillId="3" borderId="2" xfId="0" applyFont="1" applyFill="1" applyBorder="1" applyAlignment="1" applyProtection="1">
      <alignment horizontal="left"/>
      <protection hidden="1"/>
    </xf>
    <xf numFmtId="0" fontId="26" fillId="3" borderId="3" xfId="0" applyFont="1" applyFill="1" applyBorder="1" applyAlignment="1" applyProtection="1">
      <alignment horizontal="left"/>
      <protection hidden="1"/>
    </xf>
    <xf numFmtId="0" fontId="26" fillId="3" borderId="4" xfId="0" applyFont="1" applyFill="1" applyBorder="1" applyAlignment="1" applyProtection="1">
      <alignment horizontal="left"/>
      <protection hidden="1"/>
    </xf>
    <xf numFmtId="169" fontId="28" fillId="3" borderId="1" xfId="0" applyNumberFormat="1" applyFont="1" applyFill="1" applyBorder="1" applyAlignment="1" applyProtection="1">
      <alignment horizontal="center"/>
      <protection locked="0"/>
    </xf>
    <xf numFmtId="2" fontId="44" fillId="3" borderId="170" xfId="0" applyNumberFormat="1" applyFont="1" applyFill="1" applyBorder="1" applyAlignment="1" applyProtection="1">
      <alignment horizontal="center"/>
      <protection hidden="1"/>
    </xf>
    <xf numFmtId="2" fontId="44" fillId="3" borderId="172" xfId="0" applyNumberFormat="1" applyFont="1" applyFill="1" applyBorder="1" applyAlignment="1" applyProtection="1">
      <alignment horizontal="center"/>
      <protection hidden="1"/>
    </xf>
    <xf numFmtId="4" fontId="54" fillId="3" borderId="170" xfId="0" applyNumberFormat="1" applyFont="1" applyFill="1" applyBorder="1" applyAlignment="1" applyProtection="1">
      <alignment horizontal="right" vertical="center"/>
      <protection hidden="1"/>
    </xf>
    <xf numFmtId="4" fontId="54" fillId="3" borderId="172" xfId="0" applyNumberFormat="1" applyFont="1" applyFill="1" applyBorder="1" applyAlignment="1" applyProtection="1">
      <alignment horizontal="right" vertical="center"/>
      <protection hidden="1"/>
    </xf>
    <xf numFmtId="0" fontId="28" fillId="3" borderId="2" xfId="0" applyFont="1" applyFill="1" applyBorder="1" applyAlignment="1" applyProtection="1">
      <alignment horizontal="left"/>
      <protection hidden="1"/>
    </xf>
    <xf numFmtId="0" fontId="28" fillId="3" borderId="3" xfId="0" applyFont="1" applyFill="1" applyBorder="1" applyAlignment="1" applyProtection="1">
      <alignment horizontal="left"/>
      <protection hidden="1"/>
    </xf>
    <xf numFmtId="0" fontId="28" fillId="3" borderId="4" xfId="0" applyFont="1" applyFill="1" applyBorder="1" applyAlignment="1" applyProtection="1">
      <alignment horizontal="left"/>
      <protection hidden="1"/>
    </xf>
    <xf numFmtId="166" fontId="28" fillId="3" borderId="1" xfId="0" applyNumberFormat="1" applyFont="1" applyFill="1" applyBorder="1" applyAlignment="1" applyProtection="1">
      <alignment horizontal="center"/>
      <protection hidden="1"/>
    </xf>
    <xf numFmtId="2" fontId="42" fillId="3" borderId="139" xfId="0" applyNumberFormat="1" applyFont="1" applyFill="1" applyBorder="1" applyAlignment="1" applyProtection="1">
      <alignment horizontal="center"/>
      <protection hidden="1"/>
    </xf>
    <xf numFmtId="169" fontId="62" fillId="3" borderId="143" xfId="0" applyNumberFormat="1" applyFont="1" applyFill="1" applyBorder="1" applyAlignment="1" applyProtection="1">
      <alignment horizontal="right" vertical="center"/>
      <protection hidden="1"/>
    </xf>
    <xf numFmtId="0" fontId="63" fillId="3" borderId="144" xfId="0" applyFont="1" applyFill="1" applyBorder="1" applyAlignment="1" applyProtection="1">
      <alignment horizontal="right" vertical="center"/>
      <protection hidden="1"/>
    </xf>
    <xf numFmtId="166" fontId="44" fillId="3" borderId="1" xfId="0" applyNumberFormat="1" applyFont="1" applyFill="1" applyBorder="1" applyAlignment="1" applyProtection="1">
      <alignment horizontal="center"/>
      <protection hidden="1"/>
    </xf>
    <xf numFmtId="2" fontId="60" fillId="3" borderId="1" xfId="0" applyNumberFormat="1" applyFont="1" applyFill="1" applyBorder="1" applyAlignment="1" applyProtection="1">
      <alignment horizontal="center"/>
      <protection hidden="1"/>
    </xf>
    <xf numFmtId="2" fontId="42" fillId="3" borderId="135" xfId="0" applyNumberFormat="1" applyFont="1" applyFill="1" applyBorder="1" applyAlignment="1" applyProtection="1">
      <alignment horizontal="center"/>
      <protection hidden="1"/>
    </xf>
    <xf numFmtId="2" fontId="42" fillId="3" borderId="134" xfId="0" applyNumberFormat="1" applyFont="1" applyFill="1" applyBorder="1" applyAlignment="1" applyProtection="1">
      <alignment horizontal="center"/>
      <protection hidden="1"/>
    </xf>
    <xf numFmtId="4" fontId="29" fillId="3" borderId="0" xfId="0" applyNumberFormat="1" applyFont="1" applyFill="1" applyBorder="1" applyAlignment="1" applyProtection="1">
      <alignment horizontal="right"/>
      <protection hidden="1"/>
    </xf>
    <xf numFmtId="0" fontId="26" fillId="3" borderId="0" xfId="0" applyFont="1" applyFill="1" applyBorder="1" applyAlignment="1" applyProtection="1">
      <alignment horizontal="right"/>
      <protection hidden="1"/>
    </xf>
    <xf numFmtId="0" fontId="26" fillId="3" borderId="140" xfId="0" applyFont="1" applyFill="1" applyBorder="1" applyAlignment="1" applyProtection="1">
      <alignment horizontal="right"/>
      <protection hidden="1"/>
    </xf>
    <xf numFmtId="0" fontId="27" fillId="3" borderId="0" xfId="0" applyFont="1" applyFill="1" applyBorder="1" applyAlignment="1" applyProtection="1">
      <alignment horizontal="right"/>
      <protection hidden="1"/>
    </xf>
    <xf numFmtId="0" fontId="27" fillId="3" borderId="140" xfId="0" applyFont="1" applyFill="1" applyBorder="1" applyAlignment="1" applyProtection="1">
      <alignment horizontal="right"/>
      <protection hidden="1"/>
    </xf>
    <xf numFmtId="0" fontId="44" fillId="3" borderId="18" xfId="0" applyFont="1" applyFill="1" applyBorder="1" applyAlignment="1" applyProtection="1">
      <alignment horizontal="center"/>
      <protection locked="0"/>
    </xf>
    <xf numFmtId="0" fontId="44" fillId="3" borderId="17" xfId="0" applyFont="1" applyFill="1" applyBorder="1" applyAlignment="1" applyProtection="1">
      <alignment horizontal="center"/>
      <protection locked="0"/>
    </xf>
    <xf numFmtId="169" fontId="29" fillId="3" borderId="0" xfId="0" applyNumberFormat="1" applyFont="1" applyFill="1" applyBorder="1" applyAlignment="1" applyProtection="1">
      <alignment horizontal="right"/>
      <protection hidden="1"/>
    </xf>
    <xf numFmtId="0" fontId="42" fillId="3" borderId="20" xfId="0" applyFont="1" applyFill="1" applyBorder="1" applyAlignment="1" applyProtection="1">
      <alignment horizontal="center"/>
      <protection hidden="1"/>
    </xf>
    <xf numFmtId="0" fontId="42" fillId="3" borderId="19" xfId="0" applyFont="1" applyFill="1" applyBorder="1" applyAlignment="1" applyProtection="1">
      <alignment horizontal="center"/>
      <protection hidden="1"/>
    </xf>
    <xf numFmtId="166" fontId="28" fillId="3" borderId="4" xfId="0" applyNumberFormat="1" applyFont="1" applyFill="1" applyBorder="1" applyAlignment="1" applyProtection="1">
      <alignment horizontal="center"/>
      <protection hidden="1"/>
    </xf>
    <xf numFmtId="0" fontId="28" fillId="3" borderId="2" xfId="0" applyFont="1" applyFill="1" applyBorder="1" applyAlignment="1" applyProtection="1">
      <alignment horizontal="center"/>
      <protection hidden="1"/>
    </xf>
    <xf numFmtId="4" fontId="29" fillId="3" borderId="135" xfId="0" applyNumberFormat="1" applyFont="1" applyFill="1" applyBorder="1" applyAlignment="1" applyProtection="1">
      <alignment horizontal="right"/>
      <protection hidden="1"/>
    </xf>
    <xf numFmtId="4" fontId="29" fillId="3" borderId="136" xfId="0" applyNumberFormat="1" applyFont="1" applyFill="1" applyBorder="1" applyAlignment="1" applyProtection="1">
      <alignment horizontal="right"/>
      <protection hidden="1"/>
    </xf>
    <xf numFmtId="0" fontId="44" fillId="3" borderId="4" xfId="0" applyFont="1" applyFill="1" applyBorder="1" applyAlignment="1" applyProtection="1">
      <alignment horizontal="center"/>
      <protection locked="0"/>
    </xf>
    <xf numFmtId="0" fontId="44" fillId="3" borderId="2" xfId="0" applyFont="1" applyFill="1" applyBorder="1" applyAlignment="1" applyProtection="1">
      <alignment horizontal="center"/>
      <protection locked="0"/>
    </xf>
    <xf numFmtId="4" fontId="54" fillId="3" borderId="0" xfId="0" applyNumberFormat="1" applyFont="1" applyFill="1" applyBorder="1" applyAlignment="1" applyProtection="1">
      <alignment horizontal="right"/>
      <protection hidden="1"/>
    </xf>
    <xf numFmtId="0" fontId="55" fillId="3" borderId="0" xfId="0" applyFont="1" applyFill="1" applyBorder="1" applyAlignment="1" applyProtection="1">
      <alignment horizontal="right"/>
      <protection hidden="1"/>
    </xf>
    <xf numFmtId="0" fontId="64" fillId="3" borderId="0" xfId="0" applyFont="1" applyFill="1" applyBorder="1" applyAlignment="1" applyProtection="1">
      <alignment horizontal="right"/>
      <protection hidden="1"/>
    </xf>
    <xf numFmtId="4" fontId="54" fillId="3" borderId="143" xfId="0" applyNumberFormat="1" applyFont="1" applyFill="1" applyBorder="1" applyAlignment="1" applyProtection="1">
      <alignment horizontal="right"/>
      <protection hidden="1"/>
    </xf>
    <xf numFmtId="0" fontId="55" fillId="3" borderId="143" xfId="0" applyFont="1" applyFill="1" applyBorder="1" applyAlignment="1" applyProtection="1">
      <alignment horizontal="right"/>
      <protection hidden="1"/>
    </xf>
    <xf numFmtId="0" fontId="55" fillId="3" borderId="144" xfId="0" applyFont="1" applyFill="1" applyBorder="1" applyAlignment="1" applyProtection="1">
      <alignment horizontal="right"/>
      <protection hidden="1"/>
    </xf>
    <xf numFmtId="0" fontId="64" fillId="3" borderId="143" xfId="0" applyFont="1" applyFill="1" applyBorder="1" applyAlignment="1" applyProtection="1">
      <alignment horizontal="right"/>
      <protection hidden="1"/>
    </xf>
    <xf numFmtId="0" fontId="28" fillId="3" borderId="200" xfId="0" applyFont="1" applyFill="1" applyBorder="1" applyAlignment="1" applyProtection="1">
      <alignment horizontal="left"/>
      <protection hidden="1"/>
    </xf>
    <xf numFmtId="0" fontId="27" fillId="3" borderId="71" xfId="0" applyFont="1" applyFill="1" applyBorder="1" applyAlignment="1" applyProtection="1">
      <alignment horizontal="left"/>
      <protection locked="0"/>
    </xf>
    <xf numFmtId="0" fontId="27" fillId="3" borderId="10" xfId="0" applyFont="1" applyFill="1" applyBorder="1" applyAlignment="1" applyProtection="1">
      <alignment horizontal="left"/>
      <protection locked="0"/>
    </xf>
    <xf numFmtId="2" fontId="28" fillId="3" borderId="184" xfId="0" applyNumberFormat="1" applyFont="1" applyFill="1" applyBorder="1" applyAlignment="1" applyProtection="1">
      <alignment horizontal="center"/>
      <protection locked="0"/>
    </xf>
    <xf numFmtId="0" fontId="26" fillId="3" borderId="185" xfId="0" applyFont="1" applyFill="1" applyBorder="1" applyAlignment="1" applyProtection="1">
      <alignment horizontal="center"/>
      <protection locked="0"/>
    </xf>
    <xf numFmtId="169" fontId="28" fillId="3" borderId="198" xfId="0" applyNumberFormat="1" applyFont="1" applyFill="1" applyBorder="1" applyAlignment="1" applyProtection="1">
      <alignment horizontal="center" shrinkToFit="1"/>
      <protection locked="0"/>
    </xf>
    <xf numFmtId="169" fontId="28" fillId="3" borderId="231" xfId="0" applyNumberFormat="1" applyFont="1" applyFill="1" applyBorder="1" applyAlignment="1" applyProtection="1">
      <alignment horizontal="center" shrinkToFit="1"/>
      <protection locked="0"/>
    </xf>
    <xf numFmtId="170" fontId="28" fillId="3" borderId="32" xfId="0" applyNumberFormat="1" applyFont="1" applyFill="1" applyBorder="1" applyAlignment="1" applyProtection="1">
      <alignment horizontal="center"/>
      <protection locked="0"/>
    </xf>
    <xf numFmtId="170" fontId="28" fillId="3" borderId="31" xfId="0" applyNumberFormat="1" applyFont="1" applyFill="1" applyBorder="1" applyAlignment="1" applyProtection="1">
      <alignment horizontal="center"/>
      <protection locked="0"/>
    </xf>
    <xf numFmtId="169" fontId="65" fillId="3" borderId="184" xfId="0" applyNumberFormat="1" applyFont="1" applyFill="1" applyBorder="1" applyAlignment="1" applyProtection="1">
      <alignment horizontal="right" shrinkToFit="1"/>
      <protection locked="0"/>
    </xf>
    <xf numFmtId="169" fontId="65" fillId="3" borderId="185" xfId="0" applyNumberFormat="1" applyFont="1" applyFill="1" applyBorder="1" applyAlignment="1" applyProtection="1">
      <alignment horizontal="right" shrinkToFit="1"/>
      <protection locked="0"/>
    </xf>
    <xf numFmtId="2" fontId="28" fillId="3" borderId="179" xfId="0" applyNumberFormat="1" applyFont="1" applyFill="1" applyBorder="1" applyAlignment="1" applyProtection="1">
      <alignment horizontal="center"/>
      <protection locked="0"/>
    </xf>
    <xf numFmtId="0" fontId="26" fillId="3" borderId="180" xfId="0" applyFont="1" applyFill="1" applyBorder="1" applyAlignment="1" applyProtection="1">
      <alignment horizontal="center"/>
      <protection locked="0"/>
    </xf>
    <xf numFmtId="169" fontId="28" fillId="3" borderId="44" xfId="0" applyNumberFormat="1" applyFont="1" applyFill="1" applyBorder="1" applyAlignment="1" applyProtection="1">
      <alignment horizontal="center" shrinkToFit="1"/>
      <protection locked="0"/>
    </xf>
    <xf numFmtId="169" fontId="26" fillId="3" borderId="44" xfId="0" applyNumberFormat="1" applyFont="1" applyFill="1" applyBorder="1" applyAlignment="1" applyProtection="1">
      <alignment horizontal="center" shrinkToFit="1"/>
      <protection locked="0"/>
    </xf>
    <xf numFmtId="170" fontId="28" fillId="3" borderId="184" xfId="0" applyNumberFormat="1" applyFont="1" applyFill="1" applyBorder="1" applyAlignment="1" applyProtection="1">
      <alignment horizontal="center"/>
      <protection hidden="1"/>
    </xf>
    <xf numFmtId="170" fontId="28" fillId="3" borderId="185" xfId="0" applyNumberFormat="1" applyFont="1" applyFill="1" applyBorder="1" applyAlignment="1" applyProtection="1">
      <alignment horizontal="center"/>
      <protection hidden="1"/>
    </xf>
    <xf numFmtId="169" fontId="65" fillId="3" borderId="198" xfId="0" applyNumberFormat="1" applyFont="1" applyFill="1" applyBorder="1" applyAlignment="1" applyProtection="1">
      <alignment horizontal="right" shrinkToFit="1"/>
      <protection hidden="1"/>
    </xf>
    <xf numFmtId="169" fontId="65" fillId="3" borderId="231" xfId="0" applyNumberFormat="1" applyFont="1" applyFill="1" applyBorder="1" applyAlignment="1" applyProtection="1">
      <alignment horizontal="right" shrinkToFit="1"/>
      <protection hidden="1"/>
    </xf>
    <xf numFmtId="2" fontId="28" fillId="3" borderId="186" xfId="0" applyNumberFormat="1" applyFont="1" applyFill="1" applyBorder="1" applyAlignment="1" applyProtection="1">
      <alignment horizontal="center"/>
      <protection locked="0"/>
    </xf>
    <xf numFmtId="0" fontId="26" fillId="3" borderId="187" xfId="0" applyFont="1" applyFill="1" applyBorder="1" applyAlignment="1" applyProtection="1">
      <alignment horizontal="center"/>
      <protection locked="0"/>
    </xf>
    <xf numFmtId="2" fontId="28" fillId="3" borderId="71" xfId="0" applyNumberFormat="1" applyFont="1" applyFill="1" applyBorder="1" applyAlignment="1" applyProtection="1">
      <alignment horizontal="center"/>
      <protection locked="0"/>
    </xf>
    <xf numFmtId="0" fontId="26" fillId="3" borderId="10" xfId="0" applyFont="1" applyFill="1" applyBorder="1" applyAlignment="1" applyProtection="1">
      <alignment horizontal="center"/>
      <protection locked="0"/>
    </xf>
    <xf numFmtId="170" fontId="28" fillId="3" borderId="198" xfId="0" applyNumberFormat="1" applyFont="1" applyFill="1" applyBorder="1" applyAlignment="1" applyProtection="1">
      <alignment horizontal="center"/>
      <protection locked="0"/>
    </xf>
    <xf numFmtId="170" fontId="28" fillId="3" borderId="199" xfId="0" applyNumberFormat="1" applyFont="1" applyFill="1" applyBorder="1" applyAlignment="1" applyProtection="1">
      <alignment horizontal="center"/>
      <protection locked="0"/>
    </xf>
    <xf numFmtId="2" fontId="28" fillId="3" borderId="193" xfId="0" applyNumberFormat="1" applyFont="1" applyFill="1" applyBorder="1" applyAlignment="1" applyProtection="1">
      <alignment horizontal="center"/>
      <protection locked="0"/>
    </xf>
    <xf numFmtId="169" fontId="28" fillId="3" borderId="21" xfId="0" applyNumberFormat="1" applyFont="1" applyFill="1" applyBorder="1" applyAlignment="1" applyProtection="1">
      <alignment horizontal="center"/>
      <protection locked="0"/>
    </xf>
    <xf numFmtId="169" fontId="28" fillId="3" borderId="191" xfId="0" applyNumberFormat="1" applyFont="1" applyFill="1" applyBorder="1" applyAlignment="1" applyProtection="1">
      <alignment horizontal="center"/>
      <protection locked="0"/>
    </xf>
    <xf numFmtId="170" fontId="28" fillId="3" borderId="190" xfId="0" applyNumberFormat="1" applyFont="1" applyFill="1" applyBorder="1" applyAlignment="1" applyProtection="1">
      <alignment horizontal="center"/>
      <protection locked="0"/>
    </xf>
    <xf numFmtId="170" fontId="28" fillId="3" borderId="191" xfId="0" applyNumberFormat="1" applyFont="1" applyFill="1" applyBorder="1" applyAlignment="1" applyProtection="1">
      <alignment horizontal="center"/>
      <protection locked="0"/>
    </xf>
    <xf numFmtId="2" fontId="28" fillId="3" borderId="188" xfId="0" applyNumberFormat="1" applyFont="1" applyFill="1" applyBorder="1" applyAlignment="1" applyProtection="1">
      <alignment horizontal="center"/>
      <protection locked="0"/>
    </xf>
    <xf numFmtId="0" fontId="26" fillId="3" borderId="189" xfId="0" applyFont="1" applyFill="1" applyBorder="1" applyAlignment="1" applyProtection="1">
      <alignment horizontal="center"/>
      <protection locked="0"/>
    </xf>
    <xf numFmtId="2" fontId="28" fillId="3" borderId="13" xfId="0" applyNumberFormat="1" applyFont="1" applyFill="1" applyBorder="1" applyAlignment="1" applyProtection="1">
      <alignment horizontal="center"/>
      <protection locked="0"/>
    </xf>
    <xf numFmtId="0" fontId="26" fillId="3" borderId="12" xfId="0" applyFont="1" applyFill="1" applyBorder="1" applyAlignment="1" applyProtection="1">
      <alignment horizontal="center"/>
      <protection locked="0"/>
    </xf>
    <xf numFmtId="0" fontId="83" fillId="3" borderId="16" xfId="0" applyFont="1" applyFill="1" applyBorder="1" applyAlignment="1" applyProtection="1">
      <alignment horizontal="center"/>
      <protection hidden="1"/>
    </xf>
    <xf numFmtId="168" fontId="85" fillId="4" borderId="167" xfId="0" applyNumberFormat="1" applyFont="1" applyFill="1" applyBorder="1" applyAlignment="1" applyProtection="1">
      <alignment horizontal="center"/>
      <protection locked="0"/>
    </xf>
    <xf numFmtId="168" fontId="85" fillId="4" borderId="165" xfId="0" applyNumberFormat="1" applyFont="1" applyFill="1" applyBorder="1" applyAlignment="1" applyProtection="1">
      <alignment horizontal="center"/>
      <protection locked="0"/>
    </xf>
    <xf numFmtId="168" fontId="85" fillId="4" borderId="223" xfId="0" applyNumberFormat="1" applyFont="1" applyFill="1" applyBorder="1" applyAlignment="1" applyProtection="1">
      <alignment horizontal="center"/>
      <protection locked="0"/>
    </xf>
    <xf numFmtId="166" fontId="85" fillId="4" borderId="167" xfId="0" applyNumberFormat="1" applyFont="1" applyFill="1" applyBorder="1" applyAlignment="1" applyProtection="1">
      <alignment horizontal="center"/>
      <protection locked="0"/>
    </xf>
    <xf numFmtId="166" fontId="85" fillId="4" borderId="165" xfId="0" applyNumberFormat="1" applyFont="1" applyFill="1" applyBorder="1" applyAlignment="1" applyProtection="1">
      <alignment horizontal="center"/>
      <protection locked="0"/>
    </xf>
    <xf numFmtId="0" fontId="83" fillId="3" borderId="160" xfId="0" applyFont="1" applyFill="1" applyBorder="1" applyAlignment="1" applyProtection="1">
      <alignment horizontal="left"/>
      <protection hidden="1"/>
    </xf>
    <xf numFmtId="4" fontId="86" fillId="4" borderId="154" xfId="0" applyNumberFormat="1" applyFont="1" applyFill="1" applyBorder="1" applyAlignment="1" applyProtection="1">
      <alignment horizontal="center"/>
      <protection locked="0"/>
    </xf>
    <xf numFmtId="0" fontId="86" fillId="4" borderId="152" xfId="0" applyFont="1" applyFill="1" applyBorder="1" applyAlignment="1" applyProtection="1">
      <alignment horizontal="center"/>
      <protection locked="0"/>
    </xf>
    <xf numFmtId="166" fontId="87" fillId="5" borderId="154" xfId="0" applyNumberFormat="1" applyFont="1" applyFill="1" applyBorder="1" applyAlignment="1" applyProtection="1">
      <alignment horizontal="center"/>
      <protection hidden="1"/>
    </xf>
    <xf numFmtId="166" fontId="87" fillId="5" borderId="152" xfId="0" applyNumberFormat="1" applyFont="1" applyFill="1" applyBorder="1" applyAlignment="1" applyProtection="1">
      <alignment horizontal="center"/>
      <protection hidden="1"/>
    </xf>
    <xf numFmtId="170" fontId="28" fillId="3" borderId="186" xfId="0" applyNumberFormat="1" applyFont="1" applyFill="1" applyBorder="1" applyAlignment="1" applyProtection="1">
      <alignment horizontal="center"/>
      <protection locked="0"/>
    </xf>
    <xf numFmtId="170" fontId="28" fillId="3" borderId="187" xfId="0" applyNumberFormat="1" applyFont="1" applyFill="1" applyBorder="1" applyAlignment="1" applyProtection="1">
      <alignment horizontal="center"/>
      <protection locked="0"/>
    </xf>
    <xf numFmtId="4" fontId="3" fillId="3" borderId="0" xfId="0" applyNumberFormat="1" applyFont="1" applyFill="1" applyAlignment="1" applyProtection="1">
      <alignment horizontal="center"/>
      <protection hidden="1"/>
    </xf>
    <xf numFmtId="169" fontId="28" fillId="3" borderId="21" xfId="0" applyNumberFormat="1" applyFont="1" applyFill="1" applyBorder="1" applyAlignment="1" applyProtection="1">
      <alignment horizontal="center" vertical="center" shrinkToFit="1"/>
      <protection locked="0"/>
    </xf>
    <xf numFmtId="169" fontId="28" fillId="3" borderId="21" xfId="0" applyNumberFormat="1" applyFont="1" applyFill="1" applyBorder="1" applyAlignment="1" applyProtection="1">
      <alignment horizontal="center" shrinkToFit="1"/>
      <protection locked="0"/>
    </xf>
    <xf numFmtId="169" fontId="26" fillId="3" borderId="191" xfId="0" applyNumberFormat="1" applyFont="1" applyFill="1" applyBorder="1" applyAlignment="1" applyProtection="1">
      <alignment horizontal="center" shrinkToFit="1"/>
      <protection locked="0"/>
    </xf>
    <xf numFmtId="169" fontId="65" fillId="3" borderId="190" xfId="0" applyNumberFormat="1" applyFont="1" applyFill="1" applyBorder="1" applyAlignment="1" applyProtection="1">
      <alignment horizontal="right" shrinkToFit="1"/>
      <protection hidden="1"/>
    </xf>
    <xf numFmtId="169" fontId="65" fillId="3" borderId="228" xfId="0" applyNumberFormat="1" applyFont="1" applyFill="1" applyBorder="1" applyAlignment="1" applyProtection="1">
      <alignment horizontal="right" shrinkToFit="1"/>
      <protection hidden="1"/>
    </xf>
    <xf numFmtId="0" fontId="26" fillId="3" borderId="21" xfId="0" applyFont="1" applyFill="1" applyBorder="1" applyAlignment="1" applyProtection="1">
      <alignment horizontal="center" vertical="center" shrinkToFit="1"/>
      <protection locked="0"/>
    </xf>
    <xf numFmtId="0" fontId="83" fillId="3" borderId="17" xfId="0" applyFont="1" applyFill="1" applyBorder="1" applyAlignment="1" applyProtection="1">
      <alignment horizontal="center"/>
      <protection hidden="1"/>
    </xf>
    <xf numFmtId="0" fontId="83" fillId="3" borderId="226" xfId="0" applyFont="1" applyFill="1" applyBorder="1" applyAlignment="1" applyProtection="1">
      <alignment horizontal="center"/>
      <protection hidden="1"/>
    </xf>
    <xf numFmtId="0" fontId="83" fillId="3" borderId="32" xfId="0" applyFont="1" applyFill="1" applyBorder="1" applyAlignment="1" applyProtection="1">
      <alignment horizontal="center"/>
      <protection hidden="1"/>
    </xf>
    <xf numFmtId="0" fontId="83" fillId="3" borderId="31" xfId="0" applyFont="1" applyFill="1" applyBorder="1" applyAlignment="1" applyProtection="1">
      <alignment horizontal="center"/>
      <protection hidden="1"/>
    </xf>
    <xf numFmtId="0" fontId="27" fillId="3" borderId="13" xfId="0" applyFont="1" applyFill="1" applyBorder="1" applyAlignment="1" applyProtection="1">
      <alignment horizontal="left"/>
      <protection locked="0"/>
    </xf>
    <xf numFmtId="0" fontId="27" fillId="3" borderId="12" xfId="0" applyFont="1" applyFill="1" applyBorder="1" applyAlignment="1" applyProtection="1">
      <alignment horizontal="left"/>
      <protection locked="0"/>
    </xf>
    <xf numFmtId="2" fontId="86" fillId="4" borderId="153" xfId="0" applyNumberFormat="1" applyFont="1" applyFill="1" applyBorder="1" applyAlignment="1" applyProtection="1">
      <alignment horizontal="center"/>
      <protection locked="0"/>
    </xf>
    <xf numFmtId="0" fontId="85" fillId="4" borderId="167" xfId="0" applyFont="1" applyFill="1" applyBorder="1" applyAlignment="1" applyProtection="1">
      <alignment horizontal="center"/>
      <protection locked="0"/>
    </xf>
    <xf numFmtId="0" fontId="85" fillId="4" borderId="165" xfId="0" applyFont="1" applyFill="1" applyBorder="1" applyAlignment="1" applyProtection="1">
      <alignment horizontal="center"/>
      <protection locked="0"/>
    </xf>
    <xf numFmtId="0" fontId="85" fillId="4" borderId="227" xfId="0" applyFont="1" applyFill="1" applyBorder="1" applyAlignment="1" applyProtection="1">
      <alignment horizontal="center"/>
      <protection locked="0"/>
    </xf>
    <xf numFmtId="1" fontId="87" fillId="5" borderId="154" xfId="0" applyNumberFormat="1" applyFont="1" applyFill="1" applyBorder="1" applyAlignment="1" applyProtection="1">
      <alignment horizontal="center"/>
      <protection hidden="1"/>
    </xf>
    <xf numFmtId="1" fontId="87" fillId="5" borderId="152" xfId="0" applyNumberFormat="1" applyFont="1" applyFill="1" applyBorder="1" applyAlignment="1" applyProtection="1">
      <alignment horizontal="center"/>
      <protection hidden="1"/>
    </xf>
    <xf numFmtId="2" fontId="28" fillId="3" borderId="21" xfId="0" applyNumberFormat="1" applyFont="1" applyFill="1" applyBorder="1" applyAlignment="1" applyProtection="1">
      <alignment horizontal="center"/>
      <protection locked="0"/>
    </xf>
    <xf numFmtId="0" fontId="26" fillId="3" borderId="191" xfId="0" applyFont="1" applyFill="1" applyBorder="1" applyAlignment="1" applyProtection="1">
      <alignment horizontal="center"/>
      <protection locked="0"/>
    </xf>
    <xf numFmtId="169" fontId="26" fillId="3" borderId="191" xfId="0" applyNumberFormat="1" applyFont="1" applyFill="1" applyBorder="1" applyAlignment="1" applyProtection="1">
      <alignment horizontal="center"/>
      <protection locked="0"/>
    </xf>
    <xf numFmtId="0" fontId="26" fillId="3" borderId="21" xfId="0" applyFont="1" applyFill="1" applyBorder="1" applyAlignment="1" applyProtection="1">
      <alignment horizontal="center" shrinkToFit="1"/>
      <protection locked="0"/>
    </xf>
    <xf numFmtId="2" fontId="28" fillId="3" borderId="195" xfId="0" applyNumberFormat="1" applyFont="1" applyFill="1" applyBorder="1" applyAlignment="1" applyProtection="1">
      <alignment horizontal="center"/>
      <protection locked="0"/>
    </xf>
    <xf numFmtId="0" fontId="26" fillId="3" borderId="196" xfId="0" applyFont="1" applyFill="1" applyBorder="1" applyAlignment="1" applyProtection="1">
      <alignment horizontal="center"/>
      <protection locked="0"/>
    </xf>
    <xf numFmtId="169" fontId="28" fillId="3" borderId="45" xfId="0" applyNumberFormat="1" applyFont="1" applyFill="1" applyBorder="1" applyAlignment="1" applyProtection="1">
      <alignment horizontal="center" shrinkToFit="1"/>
      <protection locked="0"/>
    </xf>
    <xf numFmtId="0" fontId="26" fillId="3" borderId="45" xfId="0" applyFont="1" applyFill="1" applyBorder="1" applyAlignment="1" applyProtection="1">
      <alignment horizontal="center" shrinkToFit="1"/>
      <protection locked="0"/>
    </xf>
    <xf numFmtId="170" fontId="28" fillId="3" borderId="195" xfId="0" applyNumberFormat="1" applyFont="1" applyFill="1" applyBorder="1" applyAlignment="1" applyProtection="1">
      <alignment horizontal="center"/>
      <protection locked="0"/>
    </xf>
    <xf numFmtId="170" fontId="28" fillId="3" borderId="196" xfId="0" applyNumberFormat="1" applyFont="1" applyFill="1" applyBorder="1" applyAlignment="1" applyProtection="1">
      <alignment horizontal="center"/>
      <protection locked="0"/>
    </xf>
    <xf numFmtId="2" fontId="28" fillId="3" borderId="194" xfId="0" applyNumberFormat="1" applyFont="1" applyFill="1" applyBorder="1" applyAlignment="1" applyProtection="1">
      <alignment horizontal="center"/>
      <protection locked="0"/>
    </xf>
    <xf numFmtId="0" fontId="26" fillId="3" borderId="192" xfId="0" applyFont="1" applyFill="1" applyBorder="1" applyAlignment="1" applyProtection="1">
      <alignment horizontal="center"/>
      <protection locked="0"/>
    </xf>
    <xf numFmtId="169" fontId="26" fillId="3" borderId="210" xfId="0" applyNumberFormat="1" applyFont="1" applyFill="1" applyBorder="1" applyAlignment="1" applyProtection="1">
      <alignment horizontal="center" shrinkToFit="1"/>
      <protection locked="0"/>
    </xf>
    <xf numFmtId="169" fontId="65" fillId="3" borderId="44" xfId="0" applyNumberFormat="1" applyFont="1" applyFill="1" applyBorder="1" applyAlignment="1" applyProtection="1">
      <alignment horizontal="right" shrinkToFit="1"/>
      <protection hidden="1"/>
    </xf>
    <xf numFmtId="169" fontId="65" fillId="3" borderId="11" xfId="0" applyNumberFormat="1" applyFont="1" applyFill="1" applyBorder="1" applyAlignment="1" applyProtection="1">
      <alignment horizontal="right" shrinkToFit="1"/>
      <protection hidden="1"/>
    </xf>
    <xf numFmtId="169" fontId="44" fillId="3" borderId="170" xfId="0" applyNumberFormat="1" applyFont="1" applyFill="1" applyBorder="1" applyAlignment="1" applyProtection="1">
      <alignment horizontal="right" shrinkToFit="1"/>
      <protection hidden="1"/>
    </xf>
    <xf numFmtId="169" fontId="44" fillId="3" borderId="172" xfId="0" applyNumberFormat="1" applyFont="1" applyFill="1" applyBorder="1" applyAlignment="1" applyProtection="1">
      <alignment horizontal="right" shrinkToFit="1"/>
      <protection hidden="1"/>
    </xf>
    <xf numFmtId="169" fontId="44" fillId="3" borderId="177" xfId="0" applyNumberFormat="1" applyFont="1" applyFill="1" applyBorder="1" applyAlignment="1" applyProtection="1">
      <alignment horizontal="right" shrinkToFit="1"/>
      <protection hidden="1"/>
    </xf>
    <xf numFmtId="169" fontId="44" fillId="3" borderId="178" xfId="0" applyNumberFormat="1" applyFont="1" applyFill="1" applyBorder="1" applyAlignment="1" applyProtection="1">
      <alignment horizontal="right" shrinkToFit="1"/>
      <protection hidden="1"/>
    </xf>
    <xf numFmtId="169" fontId="28" fillId="3" borderId="0" xfId="0" applyNumberFormat="1" applyFont="1" applyFill="1" applyBorder="1" applyAlignment="1" applyProtection="1">
      <alignment horizontal="center"/>
      <protection hidden="1"/>
    </xf>
    <xf numFmtId="0" fontId="27" fillId="3" borderId="23" xfId="0" applyFont="1" applyFill="1" applyBorder="1" applyAlignment="1" applyProtection="1">
      <alignment horizontal="left"/>
      <protection hidden="1"/>
    </xf>
    <xf numFmtId="2" fontId="28" fillId="3" borderId="197" xfId="0" applyNumberFormat="1" applyFont="1" applyFill="1" applyBorder="1" applyAlignment="1" applyProtection="1">
      <alignment horizontal="center"/>
      <protection hidden="1"/>
    </xf>
    <xf numFmtId="0" fontId="26" fillId="3" borderId="19" xfId="0" applyFont="1" applyFill="1" applyBorder="1" applyAlignment="1" applyProtection="1">
      <alignment horizontal="center"/>
      <protection hidden="1"/>
    </xf>
    <xf numFmtId="169" fontId="28" fillId="3" borderId="183" xfId="0" applyNumberFormat="1" applyFont="1" applyFill="1" applyBorder="1" applyAlignment="1" applyProtection="1">
      <alignment horizontal="right" shrinkToFit="1"/>
      <protection hidden="1"/>
    </xf>
    <xf numFmtId="169" fontId="26" fillId="3" borderId="213" xfId="0" applyNumberFormat="1" applyFont="1" applyFill="1" applyBorder="1" applyAlignment="1" applyProtection="1">
      <alignment horizontal="right" shrinkToFit="1"/>
      <protection hidden="1"/>
    </xf>
    <xf numFmtId="170" fontId="28" fillId="3" borderId="20" xfId="0" applyNumberFormat="1" applyFont="1" applyFill="1" applyBorder="1" applyAlignment="1" applyProtection="1">
      <alignment horizontal="center"/>
      <protection hidden="1"/>
    </xf>
    <xf numFmtId="170" fontId="28" fillId="3" borderId="19" xfId="0" applyNumberFormat="1" applyFont="1" applyFill="1" applyBorder="1" applyAlignment="1" applyProtection="1">
      <alignment horizontal="center"/>
      <protection hidden="1"/>
    </xf>
    <xf numFmtId="169" fontId="65" fillId="3" borderId="195" xfId="0" applyNumberFormat="1" applyFont="1" applyFill="1" applyBorder="1" applyAlignment="1" applyProtection="1">
      <alignment horizontal="right" shrinkToFit="1"/>
      <protection hidden="1"/>
    </xf>
    <xf numFmtId="169" fontId="66" fillId="3" borderId="196" xfId="0" applyNumberFormat="1" applyFont="1" applyFill="1" applyBorder="1" applyAlignment="1" applyProtection="1">
      <alignment horizontal="right" shrinkToFit="1"/>
      <protection hidden="1"/>
    </xf>
    <xf numFmtId="2" fontId="28" fillId="3" borderId="54" xfId="0" applyNumberFormat="1" applyFont="1" applyFill="1" applyBorder="1" applyAlignment="1" applyProtection="1">
      <alignment horizontal="center"/>
      <protection hidden="1"/>
    </xf>
    <xf numFmtId="0" fontId="26" fillId="3" borderId="54" xfId="0" applyFont="1" applyFill="1" applyBorder="1" applyAlignment="1" applyProtection="1">
      <alignment horizontal="center"/>
      <protection hidden="1"/>
    </xf>
    <xf numFmtId="169" fontId="28" fillId="3" borderId="211" xfId="0" applyNumberFormat="1" applyFont="1" applyFill="1" applyBorder="1" applyAlignment="1" applyProtection="1">
      <alignment horizontal="right" shrinkToFit="1"/>
      <protection hidden="1"/>
    </xf>
    <xf numFmtId="169" fontId="26" fillId="3" borderId="212" xfId="0" applyNumberFormat="1" applyFont="1" applyFill="1" applyBorder="1" applyAlignment="1" applyProtection="1">
      <alignment horizontal="right" shrinkToFit="1"/>
      <protection hidden="1"/>
    </xf>
    <xf numFmtId="170" fontId="28" fillId="3" borderId="27" xfId="0" applyNumberFormat="1" applyFont="1" applyFill="1" applyBorder="1" applyAlignment="1" applyProtection="1">
      <alignment horizontal="center"/>
      <protection hidden="1"/>
    </xf>
    <xf numFmtId="0" fontId="27" fillId="3" borderId="151" xfId="0" applyFont="1" applyFill="1" applyBorder="1" applyAlignment="1" applyProtection="1">
      <alignment horizontal="left"/>
      <protection locked="0"/>
    </xf>
    <xf numFmtId="0" fontId="27" fillId="3" borderId="201" xfId="0" applyFont="1" applyFill="1" applyBorder="1" applyAlignment="1" applyProtection="1">
      <alignment horizontal="left"/>
      <protection locked="0"/>
    </xf>
    <xf numFmtId="169" fontId="28" fillId="3" borderId="186" xfId="0" applyNumberFormat="1" applyFont="1" applyFill="1" applyBorder="1" applyAlignment="1" applyProtection="1">
      <alignment horizontal="right" shrinkToFit="1"/>
      <protection locked="0"/>
    </xf>
    <xf numFmtId="169" fontId="26" fillId="3" borderId="187" xfId="0" applyNumberFormat="1" applyFont="1" applyFill="1" applyBorder="1" applyAlignment="1" applyProtection="1">
      <alignment horizontal="right" shrinkToFit="1"/>
      <protection locked="0"/>
    </xf>
    <xf numFmtId="170" fontId="28" fillId="3" borderId="71" xfId="0" applyNumberFormat="1" applyFont="1" applyFill="1" applyBorder="1" applyAlignment="1" applyProtection="1">
      <alignment horizontal="center"/>
      <protection hidden="1"/>
    </xf>
    <xf numFmtId="170" fontId="28" fillId="3" borderId="10" xfId="0" applyNumberFormat="1" applyFont="1" applyFill="1" applyBorder="1" applyAlignment="1" applyProtection="1">
      <alignment horizontal="center"/>
      <protection hidden="1"/>
    </xf>
    <xf numFmtId="169" fontId="28" fillId="3" borderId="179" xfId="0" applyNumberFormat="1" applyFont="1" applyFill="1" applyBorder="1" applyAlignment="1" applyProtection="1">
      <alignment horizontal="right" shrinkToFit="1"/>
      <protection hidden="1"/>
    </xf>
    <xf numFmtId="169" fontId="26" fillId="3" borderId="180" xfId="0" applyNumberFormat="1" applyFont="1" applyFill="1" applyBorder="1" applyAlignment="1" applyProtection="1">
      <alignment horizontal="right" shrinkToFit="1"/>
      <protection hidden="1"/>
    </xf>
    <xf numFmtId="2" fontId="28" fillId="3" borderId="44" xfId="0" applyNumberFormat="1" applyFont="1" applyFill="1" applyBorder="1" applyAlignment="1" applyProtection="1">
      <alignment horizontal="center"/>
      <protection locked="0"/>
    </xf>
    <xf numFmtId="0" fontId="26" fillId="3" borderId="206" xfId="0" applyFont="1" applyFill="1" applyBorder="1" applyAlignment="1" applyProtection="1">
      <alignment horizontal="center"/>
      <protection locked="0"/>
    </xf>
    <xf numFmtId="169" fontId="28" fillId="3" borderId="44" xfId="0" applyNumberFormat="1" applyFont="1" applyFill="1" applyBorder="1" applyAlignment="1" applyProtection="1">
      <alignment horizontal="right" shrinkToFit="1"/>
      <protection locked="0"/>
    </xf>
    <xf numFmtId="169" fontId="26" fillId="3" borderId="206" xfId="0" applyNumberFormat="1" applyFont="1" applyFill="1" applyBorder="1" applyAlignment="1" applyProtection="1">
      <alignment horizontal="right" shrinkToFit="1"/>
      <protection locked="0"/>
    </xf>
    <xf numFmtId="0" fontId="28" fillId="3" borderId="181" xfId="0" applyFont="1" applyFill="1" applyBorder="1" applyAlignment="1" applyProtection="1">
      <alignment horizontal="left"/>
      <protection hidden="1"/>
    </xf>
    <xf numFmtId="0" fontId="28" fillId="3" borderId="182" xfId="0" applyFont="1" applyFill="1" applyBorder="1" applyAlignment="1" applyProtection="1">
      <alignment horizontal="left"/>
      <protection hidden="1"/>
    </xf>
    <xf numFmtId="170" fontId="28" fillId="3" borderId="193" xfId="0" applyNumberFormat="1" applyFont="1" applyFill="1" applyBorder="1" applyAlignment="1" applyProtection="1">
      <alignment horizontal="center"/>
      <protection hidden="1"/>
    </xf>
    <xf numFmtId="169" fontId="28" fillId="3" borderId="198" xfId="0" applyNumberFormat="1" applyFont="1" applyFill="1" applyBorder="1" applyAlignment="1" applyProtection="1">
      <alignment horizontal="right"/>
      <protection hidden="1"/>
    </xf>
    <xf numFmtId="0" fontId="26" fillId="3" borderId="199" xfId="0" applyFont="1" applyFill="1" applyBorder="1" applyAlignment="1" applyProtection="1">
      <alignment horizontal="right"/>
      <protection hidden="1"/>
    </xf>
    <xf numFmtId="0" fontId="27" fillId="3" borderId="187" xfId="0" applyFont="1" applyFill="1" applyBorder="1" applyAlignment="1" applyProtection="1">
      <alignment horizontal="left"/>
      <protection locked="0"/>
    </xf>
    <xf numFmtId="169" fontId="28" fillId="3" borderId="188" xfId="0" applyNumberFormat="1" applyFont="1" applyFill="1" applyBorder="1" applyAlignment="1" applyProtection="1">
      <alignment horizontal="right" shrinkToFit="1"/>
      <protection locked="0"/>
    </xf>
    <xf numFmtId="169" fontId="26" fillId="3" borderId="189" xfId="0" applyNumberFormat="1" applyFont="1" applyFill="1" applyBorder="1" applyAlignment="1" applyProtection="1">
      <alignment horizontal="right" shrinkToFit="1"/>
      <protection locked="0"/>
    </xf>
    <xf numFmtId="170" fontId="28" fillId="3" borderId="202" xfId="0" applyNumberFormat="1" applyFont="1" applyFill="1" applyBorder="1" applyAlignment="1" applyProtection="1">
      <alignment horizontal="center"/>
      <protection hidden="1"/>
    </xf>
    <xf numFmtId="170" fontId="28" fillId="3" borderId="203" xfId="0" applyNumberFormat="1" applyFont="1" applyFill="1" applyBorder="1" applyAlignment="1" applyProtection="1">
      <alignment horizontal="center"/>
      <protection hidden="1"/>
    </xf>
    <xf numFmtId="169" fontId="28" fillId="3" borderId="71" xfId="0" applyNumberFormat="1" applyFont="1" applyFill="1" applyBorder="1" applyAlignment="1" applyProtection="1">
      <alignment horizontal="right" shrinkToFit="1"/>
      <protection hidden="1"/>
    </xf>
    <xf numFmtId="169" fontId="26" fillId="3" borderId="161" xfId="0" applyNumberFormat="1" applyFont="1" applyFill="1" applyBorder="1" applyAlignment="1" applyProtection="1">
      <alignment horizontal="right" shrinkToFit="1"/>
      <protection hidden="1"/>
    </xf>
    <xf numFmtId="169" fontId="28" fillId="3" borderId="21" xfId="0" applyNumberFormat="1" applyFont="1" applyFill="1" applyBorder="1" applyAlignment="1" applyProtection="1">
      <alignment horizontal="right" shrinkToFit="1"/>
      <protection locked="0"/>
    </xf>
    <xf numFmtId="169" fontId="26" fillId="3" borderId="191" xfId="0" applyNumberFormat="1" applyFont="1" applyFill="1" applyBorder="1" applyAlignment="1" applyProtection="1">
      <alignment horizontal="right" shrinkToFit="1"/>
      <protection locked="0"/>
    </xf>
    <xf numFmtId="170" fontId="28" fillId="3" borderId="13" xfId="0" applyNumberFormat="1" applyFont="1" applyFill="1" applyBorder="1" applyAlignment="1" applyProtection="1">
      <alignment horizontal="center"/>
      <protection hidden="1"/>
    </xf>
    <xf numFmtId="170" fontId="28" fillId="3" borderId="189" xfId="0" applyNumberFormat="1" applyFont="1" applyFill="1" applyBorder="1" applyAlignment="1" applyProtection="1">
      <alignment horizontal="center"/>
      <protection hidden="1"/>
    </xf>
    <xf numFmtId="169" fontId="28" fillId="3" borderId="190" xfId="0" applyNumberFormat="1" applyFont="1" applyFill="1" applyBorder="1" applyAlignment="1" applyProtection="1">
      <alignment horizontal="right"/>
      <protection hidden="1"/>
    </xf>
    <xf numFmtId="0" fontId="26" fillId="3" borderId="191" xfId="0" applyFont="1" applyFill="1" applyBorder="1" applyAlignment="1" applyProtection="1">
      <alignment horizontal="right"/>
      <protection hidden="1"/>
    </xf>
    <xf numFmtId="0" fontId="27" fillId="3" borderId="189" xfId="0" applyFont="1" applyFill="1" applyBorder="1" applyAlignment="1" applyProtection="1">
      <alignment horizontal="left"/>
      <protection locked="0"/>
    </xf>
    <xf numFmtId="169" fontId="26" fillId="3" borderId="12" xfId="0" applyNumberFormat="1" applyFont="1" applyFill="1" applyBorder="1" applyAlignment="1" applyProtection="1">
      <alignment horizontal="right" shrinkToFit="1"/>
      <protection locked="0"/>
    </xf>
    <xf numFmtId="169" fontId="28" fillId="3" borderId="13" xfId="0" applyNumberFormat="1" applyFont="1" applyFill="1" applyBorder="1" applyAlignment="1" applyProtection="1">
      <alignment horizontal="right" shrinkToFit="1"/>
      <protection hidden="1"/>
    </xf>
    <xf numFmtId="169" fontId="26" fillId="3" borderId="162" xfId="0" applyNumberFormat="1" applyFont="1" applyFill="1" applyBorder="1" applyAlignment="1" applyProtection="1">
      <alignment horizontal="right" shrinkToFit="1"/>
      <protection hidden="1"/>
    </xf>
    <xf numFmtId="170" fontId="28" fillId="3" borderId="92" xfId="0" applyNumberFormat="1" applyFont="1" applyFill="1" applyBorder="1" applyAlignment="1" applyProtection="1">
      <alignment horizontal="center"/>
      <protection hidden="1"/>
    </xf>
    <xf numFmtId="169" fontId="28" fillId="3" borderId="204" xfId="0" applyNumberFormat="1" applyFont="1" applyFill="1" applyBorder="1" applyAlignment="1" applyProtection="1">
      <alignment horizontal="right"/>
      <protection hidden="1"/>
    </xf>
    <xf numFmtId="0" fontId="26" fillId="3" borderId="205" xfId="0" applyFont="1" applyFill="1" applyBorder="1" applyAlignment="1" applyProtection="1">
      <alignment horizontal="right"/>
      <protection hidden="1"/>
    </xf>
    <xf numFmtId="0" fontId="26" fillId="3" borderId="31" xfId="0" applyFont="1" applyFill="1" applyBorder="1" applyAlignment="1" applyProtection="1">
      <alignment horizontal="left"/>
      <protection hidden="1"/>
    </xf>
    <xf numFmtId="0" fontId="26" fillId="3" borderId="0" xfId="0" applyFont="1" applyFill="1" applyBorder="1" applyAlignment="1" applyProtection="1">
      <alignment horizontal="left"/>
      <protection hidden="1"/>
    </xf>
    <xf numFmtId="169" fontId="28" fillId="3" borderId="177" xfId="0" quotePrefix="1" applyNumberFormat="1" applyFont="1" applyFill="1" applyBorder="1" applyAlignment="1" applyProtection="1">
      <alignment horizontal="right" shrinkToFit="1"/>
      <protection locked="0"/>
    </xf>
    <xf numFmtId="169" fontId="26" fillId="3" borderId="168" xfId="0" applyNumberFormat="1" applyFont="1" applyFill="1" applyBorder="1" applyAlignment="1" applyProtection="1">
      <alignment horizontal="right" shrinkToFit="1"/>
      <protection locked="0"/>
    </xf>
    <xf numFmtId="169" fontId="26" fillId="3" borderId="178" xfId="0" applyNumberFormat="1" applyFont="1" applyFill="1" applyBorder="1" applyAlignment="1" applyProtection="1">
      <alignment horizontal="right" shrinkToFit="1"/>
      <protection locked="0"/>
    </xf>
    <xf numFmtId="169" fontId="28" fillId="3" borderId="170" xfId="0" applyNumberFormat="1" applyFont="1" applyFill="1" applyBorder="1" applyAlignment="1" applyProtection="1">
      <alignment horizontal="right" shrinkToFit="1"/>
      <protection locked="0"/>
    </xf>
    <xf numFmtId="169" fontId="26" fillId="3" borderId="171" xfId="0" applyNumberFormat="1" applyFont="1" applyFill="1" applyBorder="1" applyAlignment="1" applyProtection="1">
      <alignment horizontal="right" shrinkToFit="1"/>
      <protection locked="0"/>
    </xf>
    <xf numFmtId="169" fontId="26" fillId="3" borderId="172" xfId="0" applyNumberFormat="1" applyFont="1" applyFill="1" applyBorder="1" applyAlignment="1" applyProtection="1">
      <alignment horizontal="right" shrinkToFit="1"/>
      <protection locked="0"/>
    </xf>
    <xf numFmtId="169" fontId="28" fillId="3" borderId="177" xfId="0" applyNumberFormat="1" applyFont="1" applyFill="1" applyBorder="1" applyAlignment="1" applyProtection="1">
      <alignment horizontal="right" shrinkToFit="1"/>
      <protection locked="0"/>
    </xf>
    <xf numFmtId="169" fontId="28" fillId="3" borderId="24" xfId="0" applyNumberFormat="1" applyFont="1" applyFill="1" applyBorder="1" applyAlignment="1" applyProtection="1">
      <alignment horizontal="right" shrinkToFit="1"/>
      <protection hidden="1"/>
    </xf>
    <xf numFmtId="169" fontId="26" fillId="3" borderId="41" xfId="0" applyNumberFormat="1" applyFont="1" applyFill="1" applyBorder="1" applyAlignment="1" applyProtection="1">
      <alignment horizontal="right" shrinkToFit="1"/>
      <protection hidden="1"/>
    </xf>
    <xf numFmtId="170" fontId="28" fillId="3" borderId="179" xfId="0" applyNumberFormat="1" applyFont="1" applyFill="1" applyBorder="1" applyAlignment="1" applyProtection="1">
      <alignment horizontal="center"/>
      <protection hidden="1"/>
    </xf>
    <xf numFmtId="170" fontId="28" fillId="3" borderId="180" xfId="0" applyNumberFormat="1" applyFont="1" applyFill="1" applyBorder="1" applyAlignment="1" applyProtection="1">
      <alignment horizontal="center"/>
      <protection hidden="1"/>
    </xf>
    <xf numFmtId="169" fontId="28" fillId="3" borderId="135" xfId="0" applyNumberFormat="1" applyFont="1" applyFill="1" applyBorder="1" applyAlignment="1" applyProtection="1">
      <alignment horizontal="right"/>
      <protection hidden="1"/>
    </xf>
    <xf numFmtId="0" fontId="26" fillId="3" borderId="136" xfId="0" applyFont="1" applyFill="1" applyBorder="1" applyAlignment="1" applyProtection="1">
      <alignment horizontal="right"/>
      <protection hidden="1"/>
    </xf>
    <xf numFmtId="169" fontId="44" fillId="3" borderId="167" xfId="0" applyNumberFormat="1" applyFont="1" applyFill="1" applyBorder="1" applyAlignment="1" applyProtection="1">
      <alignment horizontal="right" shrinkToFit="1"/>
      <protection hidden="1"/>
    </xf>
    <xf numFmtId="169" fontId="55" fillId="3" borderId="165" xfId="0" applyNumberFormat="1" applyFont="1" applyFill="1" applyBorder="1" applyAlignment="1" applyProtection="1">
      <alignment horizontal="right" shrinkToFit="1"/>
      <protection hidden="1"/>
    </xf>
    <xf numFmtId="169" fontId="44" fillId="3" borderId="167" xfId="0" applyNumberFormat="1" applyFont="1" applyFill="1" applyBorder="1" applyAlignment="1" applyProtection="1">
      <alignment horizontal="right"/>
      <protection hidden="1"/>
    </xf>
    <xf numFmtId="0" fontId="55" fillId="3" borderId="165" xfId="0" applyFont="1" applyFill="1" applyBorder="1" applyAlignment="1" applyProtection="1">
      <alignment horizontal="right"/>
      <protection hidden="1"/>
    </xf>
    <xf numFmtId="2" fontId="28" fillId="3" borderId="23" xfId="0" applyNumberFormat="1" applyFont="1" applyFill="1" applyBorder="1" applyAlignment="1" applyProtection="1">
      <alignment horizontal="center"/>
      <protection hidden="1"/>
    </xf>
    <xf numFmtId="0" fontId="26" fillId="3" borderId="23" xfId="0" applyFont="1" applyFill="1" applyBorder="1" applyAlignment="1" applyProtection="1">
      <alignment horizontal="center"/>
      <protection hidden="1"/>
    </xf>
    <xf numFmtId="169" fontId="28" fillId="3" borderId="23" xfId="0" applyNumberFormat="1" applyFont="1" applyFill="1" applyBorder="1" applyAlignment="1" applyProtection="1">
      <alignment horizontal="right" shrinkToFit="1"/>
      <protection hidden="1"/>
    </xf>
    <xf numFmtId="169" fontId="26" fillId="3" borderId="24" xfId="0" applyNumberFormat="1" applyFont="1" applyFill="1" applyBorder="1" applyAlignment="1" applyProtection="1">
      <alignment horizontal="right" shrinkToFit="1"/>
      <protection hidden="1"/>
    </xf>
    <xf numFmtId="170" fontId="28" fillId="3" borderId="195" xfId="0" applyNumberFormat="1" applyFont="1" applyFill="1" applyBorder="1" applyAlignment="1" applyProtection="1">
      <alignment horizontal="center"/>
      <protection hidden="1"/>
    </xf>
    <xf numFmtId="170" fontId="28" fillId="3" borderId="196" xfId="0" applyNumberFormat="1" applyFont="1" applyFill="1" applyBorder="1" applyAlignment="1" applyProtection="1">
      <alignment horizontal="center"/>
      <protection hidden="1"/>
    </xf>
    <xf numFmtId="169" fontId="28" fillId="3" borderId="92" xfId="0" applyNumberFormat="1" applyFont="1" applyFill="1" applyBorder="1" applyAlignment="1" applyProtection="1">
      <alignment horizontal="right" shrinkToFit="1"/>
      <protection hidden="1"/>
    </xf>
    <xf numFmtId="169" fontId="26" fillId="3" borderId="166" xfId="0" applyNumberFormat="1" applyFont="1" applyFill="1" applyBorder="1" applyAlignment="1" applyProtection="1">
      <alignment horizontal="right" shrinkToFit="1"/>
      <protection hidden="1"/>
    </xf>
    <xf numFmtId="2" fontId="28" fillId="3" borderId="41" xfId="0" applyNumberFormat="1" applyFont="1" applyFill="1" applyBorder="1" applyAlignment="1" applyProtection="1">
      <alignment horizontal="center"/>
      <protection hidden="1"/>
    </xf>
    <xf numFmtId="0" fontId="26" fillId="3" borderId="25" xfId="0" applyFont="1" applyFill="1" applyBorder="1" applyAlignment="1" applyProtection="1">
      <alignment horizontal="center"/>
      <protection hidden="1"/>
    </xf>
    <xf numFmtId="0" fontId="28" fillId="3" borderId="149" xfId="0" applyFont="1" applyFill="1" applyBorder="1" applyAlignment="1" applyProtection="1">
      <alignment horizontal="left"/>
      <protection hidden="1"/>
    </xf>
    <xf numFmtId="0" fontId="28" fillId="3" borderId="143" xfId="0" applyFont="1" applyFill="1" applyBorder="1" applyAlignment="1" applyProtection="1">
      <alignment horizontal="left"/>
      <protection hidden="1"/>
    </xf>
    <xf numFmtId="169" fontId="50" fillId="3" borderId="143" xfId="0" applyNumberFormat="1" applyFont="1" applyFill="1" applyBorder="1" applyAlignment="1" applyProtection="1">
      <alignment horizontal="right" shrinkToFit="1"/>
      <protection locked="0"/>
    </xf>
    <xf numFmtId="169" fontId="27" fillId="3" borderId="143" xfId="0" applyNumberFormat="1" applyFont="1" applyFill="1" applyBorder="1" applyAlignment="1" applyProtection="1">
      <alignment horizontal="right" shrinkToFit="1"/>
      <protection locked="0"/>
    </xf>
    <xf numFmtId="169" fontId="27" fillId="3" borderId="144" xfId="0" applyNumberFormat="1" applyFont="1" applyFill="1" applyBorder="1" applyAlignment="1" applyProtection="1">
      <alignment horizontal="right" shrinkToFit="1"/>
      <protection locked="0"/>
    </xf>
    <xf numFmtId="169" fontId="50" fillId="3" borderId="153" xfId="0" applyNumberFormat="1" applyFont="1" applyFill="1" applyBorder="1" applyAlignment="1" applyProtection="1">
      <alignment horizontal="right" shrinkToFit="1"/>
      <protection locked="0"/>
    </xf>
    <xf numFmtId="169" fontId="50" fillId="3" borderId="152" xfId="0" applyNumberFormat="1" applyFont="1" applyFill="1" applyBorder="1" applyAlignment="1" applyProtection="1">
      <alignment horizontal="right" shrinkToFit="1"/>
      <protection locked="0"/>
    </xf>
    <xf numFmtId="0" fontId="27" fillId="3" borderId="3" xfId="0" applyFont="1" applyFill="1" applyBorder="1" applyAlignment="1" applyProtection="1">
      <alignment horizontal="left"/>
      <protection hidden="1"/>
    </xf>
    <xf numFmtId="169" fontId="54" fillId="3" borderId="154" xfId="0" applyNumberFormat="1" applyFont="1" applyFill="1" applyBorder="1" applyAlignment="1" applyProtection="1">
      <alignment horizontal="right"/>
      <protection hidden="1"/>
    </xf>
    <xf numFmtId="0" fontId="64" fillId="3" borderId="153" xfId="0" applyFont="1" applyFill="1" applyBorder="1" applyAlignment="1" applyProtection="1">
      <alignment horizontal="right"/>
      <protection hidden="1"/>
    </xf>
    <xf numFmtId="0" fontId="64" fillId="3" borderId="152" xfId="0" applyFont="1" applyFill="1" applyBorder="1" applyAlignment="1" applyProtection="1">
      <alignment horizontal="right"/>
      <protection hidden="1"/>
    </xf>
    <xf numFmtId="0" fontId="26" fillId="3" borderId="149" xfId="0" applyFont="1" applyFill="1" applyBorder="1" applyAlignment="1" applyProtection="1">
      <alignment horizontal="left"/>
      <protection hidden="1"/>
    </xf>
    <xf numFmtId="0" fontId="26" fillId="3" borderId="143" xfId="0" applyFont="1" applyFill="1" applyBorder="1" applyAlignment="1" applyProtection="1">
      <alignment horizontal="left"/>
      <protection hidden="1"/>
    </xf>
    <xf numFmtId="169" fontId="44" fillId="3" borderId="143" xfId="0" applyNumberFormat="1" applyFont="1" applyFill="1" applyBorder="1" applyAlignment="1" applyProtection="1">
      <alignment horizontal="right"/>
      <protection hidden="1"/>
    </xf>
    <xf numFmtId="169" fontId="44" fillId="3" borderId="144" xfId="0" applyNumberFormat="1" applyFont="1" applyFill="1" applyBorder="1" applyAlignment="1" applyProtection="1">
      <alignment horizontal="right"/>
      <protection hidden="1"/>
    </xf>
    <xf numFmtId="0" fontId="28" fillId="3" borderId="148" xfId="0" applyFont="1" applyFill="1" applyBorder="1" applyAlignment="1" applyProtection="1">
      <alignment horizontal="left"/>
      <protection hidden="1"/>
    </xf>
    <xf numFmtId="0" fontId="27" fillId="3" borderId="135" xfId="0" applyFont="1" applyFill="1" applyBorder="1" applyAlignment="1" applyProtection="1">
      <alignment horizontal="left"/>
      <protection hidden="1"/>
    </xf>
    <xf numFmtId="0" fontId="27" fillId="3" borderId="207" xfId="0" applyFont="1" applyFill="1" applyBorder="1" applyAlignment="1" applyProtection="1">
      <alignment horizontal="left"/>
      <protection hidden="1"/>
    </xf>
    <xf numFmtId="169" fontId="27" fillId="3" borderId="153" xfId="0" applyNumberFormat="1" applyFont="1" applyFill="1" applyBorder="1" applyAlignment="1" applyProtection="1">
      <alignment horizontal="right" shrinkToFit="1"/>
      <protection locked="0"/>
    </xf>
    <xf numFmtId="169" fontId="27" fillId="3" borderId="152" xfId="0" applyNumberFormat="1" applyFont="1" applyFill="1" applyBorder="1" applyAlignment="1" applyProtection="1">
      <alignment horizontal="right" shrinkToFit="1"/>
      <protection locked="0"/>
    </xf>
    <xf numFmtId="169" fontId="50" fillId="3" borderId="135" xfId="0" applyNumberFormat="1" applyFont="1" applyFill="1" applyBorder="1" applyAlignment="1" applyProtection="1">
      <alignment horizontal="right" shrinkToFit="1"/>
      <protection locked="0"/>
    </xf>
    <xf numFmtId="169" fontId="50" fillId="3" borderId="136" xfId="0" applyNumberFormat="1" applyFont="1" applyFill="1" applyBorder="1" applyAlignment="1" applyProtection="1">
      <alignment horizontal="right" shrinkToFit="1"/>
      <protection locked="0"/>
    </xf>
    <xf numFmtId="0" fontId="26" fillId="3" borderId="31" xfId="0" applyFont="1" applyFill="1" applyBorder="1" applyAlignment="1" applyProtection="1">
      <alignment horizontal="right"/>
      <protection hidden="1"/>
    </xf>
    <xf numFmtId="0" fontId="26" fillId="3" borderId="32" xfId="0" applyFont="1" applyFill="1" applyBorder="1" applyAlignment="1" applyProtection="1">
      <alignment horizontal="right"/>
      <protection hidden="1"/>
    </xf>
    <xf numFmtId="4" fontId="29" fillId="3" borderId="31" xfId="0" applyNumberFormat="1" applyFont="1" applyFill="1" applyBorder="1" applyAlignment="1" applyProtection="1">
      <alignment horizontal="right"/>
      <protection hidden="1"/>
    </xf>
    <xf numFmtId="0" fontId="26" fillId="3" borderId="149" xfId="0" applyFont="1" applyFill="1" applyBorder="1" applyAlignment="1" applyProtection="1">
      <alignment horizontal="right"/>
      <protection hidden="1"/>
    </xf>
    <xf numFmtId="0" fontId="26" fillId="3" borderId="143" xfId="0" applyFont="1" applyFill="1" applyBorder="1" applyAlignment="1" applyProtection="1">
      <alignment horizontal="right"/>
      <protection hidden="1"/>
    </xf>
    <xf numFmtId="0" fontId="26" fillId="3" borderId="151" xfId="0" applyFont="1" applyFill="1" applyBorder="1" applyAlignment="1" applyProtection="1">
      <alignment horizontal="right"/>
      <protection hidden="1"/>
    </xf>
    <xf numFmtId="4" fontId="29" fillId="3" borderId="149" xfId="0" applyNumberFormat="1" applyFont="1" applyFill="1" applyBorder="1" applyAlignment="1" applyProtection="1">
      <alignment horizontal="right"/>
      <protection hidden="1"/>
    </xf>
    <xf numFmtId="4" fontId="29" fillId="3" borderId="143" xfId="0" applyNumberFormat="1" applyFont="1" applyFill="1" applyBorder="1" applyAlignment="1" applyProtection="1">
      <alignment horizontal="right"/>
      <protection hidden="1"/>
    </xf>
    <xf numFmtId="0" fontId="26" fillId="3" borderId="144" xfId="0" applyFont="1" applyFill="1" applyBorder="1" applyAlignment="1" applyProtection="1">
      <alignment horizontal="right"/>
      <protection hidden="1"/>
    </xf>
    <xf numFmtId="0" fontId="67" fillId="3" borderId="148" xfId="0" applyFont="1" applyFill="1" applyBorder="1" applyAlignment="1" applyProtection="1">
      <alignment horizontal="center" vertical="center" wrapText="1"/>
      <protection hidden="1"/>
    </xf>
    <xf numFmtId="0" fontId="67" fillId="3" borderId="31" xfId="0" applyFont="1" applyFill="1" applyBorder="1" applyAlignment="1" applyProtection="1">
      <alignment horizontal="center" vertical="center" wrapText="1"/>
      <protection hidden="1"/>
    </xf>
    <xf numFmtId="0" fontId="67" fillId="3" borderId="149" xfId="0" applyFont="1" applyFill="1" applyBorder="1" applyAlignment="1" applyProtection="1">
      <alignment horizontal="center" vertical="center" wrapText="1"/>
      <protection hidden="1"/>
    </xf>
    <xf numFmtId="0" fontId="26" fillId="3" borderId="148" xfId="0" applyFont="1" applyFill="1" applyBorder="1" applyAlignment="1" applyProtection="1">
      <alignment horizontal="right"/>
      <protection hidden="1"/>
    </xf>
    <xf numFmtId="0" fontId="26" fillId="3" borderId="135" xfId="0" applyFont="1" applyFill="1" applyBorder="1" applyAlignment="1" applyProtection="1">
      <alignment horizontal="right"/>
      <protection hidden="1"/>
    </xf>
    <xf numFmtId="0" fontId="26" fillId="3" borderId="150" xfId="0" applyFont="1" applyFill="1" applyBorder="1" applyAlignment="1" applyProtection="1">
      <alignment horizontal="right"/>
      <protection hidden="1"/>
    </xf>
    <xf numFmtId="4" fontId="29" fillId="3" borderId="148" xfId="0" applyNumberFormat="1" applyFont="1" applyFill="1" applyBorder="1" applyAlignment="1" applyProtection="1">
      <alignment horizontal="right"/>
      <protection hidden="1"/>
    </xf>
    <xf numFmtId="0" fontId="27" fillId="3" borderId="31" xfId="0" applyFont="1" applyFill="1" applyBorder="1" applyAlignment="1" applyProtection="1">
      <alignment horizontal="right"/>
      <protection hidden="1"/>
    </xf>
    <xf numFmtId="4" fontId="29" fillId="3" borderId="140" xfId="0" applyNumberFormat="1" applyFont="1" applyFill="1" applyBorder="1" applyAlignment="1" applyProtection="1">
      <alignment horizontal="right"/>
      <protection hidden="1"/>
    </xf>
    <xf numFmtId="0" fontId="68" fillId="3" borderId="31" xfId="0" applyFont="1" applyFill="1" applyBorder="1" applyAlignment="1" applyProtection="1">
      <alignment horizontal="center" vertical="center" wrapText="1"/>
      <protection hidden="1"/>
    </xf>
    <xf numFmtId="0" fontId="68" fillId="3" borderId="149" xfId="0" applyFont="1" applyFill="1" applyBorder="1" applyAlignment="1" applyProtection="1">
      <alignment horizontal="center" vertical="center" wrapText="1"/>
      <protection hidden="1"/>
    </xf>
    <xf numFmtId="0" fontId="28" fillId="3" borderId="148" xfId="0" applyFont="1" applyFill="1" applyBorder="1" applyAlignment="1" applyProtection="1">
      <alignment horizontal="right"/>
      <protection hidden="1"/>
    </xf>
    <xf numFmtId="0" fontId="27" fillId="3" borderId="150" xfId="0" applyFont="1" applyFill="1" applyBorder="1" applyAlignment="1" applyProtection="1">
      <alignment horizontal="left"/>
      <protection hidden="1"/>
    </xf>
    <xf numFmtId="169" fontId="29" fillId="3" borderId="135" xfId="0" applyNumberFormat="1" applyFont="1" applyFill="1" applyBorder="1" applyAlignment="1" applyProtection="1">
      <alignment horizontal="right"/>
      <protection hidden="1"/>
    </xf>
    <xf numFmtId="0" fontId="28" fillId="3" borderId="31" xfId="0" applyFont="1" applyFill="1" applyBorder="1" applyAlignment="1" applyProtection="1">
      <alignment horizontal="left"/>
      <protection hidden="1"/>
    </xf>
    <xf numFmtId="0" fontId="27" fillId="3" borderId="0" xfId="0" applyFont="1" applyFill="1" applyBorder="1" applyAlignment="1" applyProtection="1">
      <alignment horizontal="left"/>
      <protection hidden="1"/>
    </xf>
    <xf numFmtId="0" fontId="27" fillId="3" borderId="32" xfId="0" applyFont="1" applyFill="1" applyBorder="1" applyAlignment="1" applyProtection="1">
      <alignment horizontal="left"/>
      <protection hidden="1"/>
    </xf>
    <xf numFmtId="169" fontId="29" fillId="3" borderId="0" xfId="0" applyNumberFormat="1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Border="1" applyAlignment="1" applyProtection="1">
      <alignment horizontal="right" vertical="center"/>
      <protection hidden="1"/>
    </xf>
    <xf numFmtId="0" fontId="28" fillId="3" borderId="149" xfId="0" applyFont="1" applyFill="1" applyBorder="1" applyAlignment="1" applyProtection="1">
      <alignment horizontal="right"/>
      <protection hidden="1"/>
    </xf>
    <xf numFmtId="4" fontId="27" fillId="3" borderId="135" xfId="0" applyNumberFormat="1" applyFont="1" applyFill="1" applyBorder="1" applyAlignment="1" applyProtection="1">
      <alignment horizontal="right"/>
      <protection hidden="1"/>
    </xf>
    <xf numFmtId="0" fontId="50" fillId="3" borderId="2" xfId="0" applyFont="1" applyFill="1" applyBorder="1" applyAlignment="1" applyProtection="1">
      <alignment horizontal="left"/>
      <protection hidden="1"/>
    </xf>
    <xf numFmtId="0" fontId="50" fillId="3" borderId="3" xfId="0" applyFont="1" applyFill="1" applyBorder="1" applyAlignment="1" applyProtection="1">
      <alignment horizontal="left"/>
      <protection hidden="1"/>
    </xf>
    <xf numFmtId="0" fontId="50" fillId="3" borderId="163" xfId="0" applyFont="1" applyFill="1" applyBorder="1" applyAlignment="1" applyProtection="1">
      <alignment horizontal="left"/>
      <protection hidden="1"/>
    </xf>
    <xf numFmtId="169" fontId="54" fillId="3" borderId="154" xfId="0" applyNumberFormat="1" applyFont="1" applyFill="1" applyBorder="1" applyAlignment="1" applyProtection="1">
      <alignment horizontal="right" vertical="center"/>
      <protection hidden="1"/>
    </xf>
    <xf numFmtId="169" fontId="54" fillId="3" borderId="153" xfId="0" applyNumberFormat="1" applyFont="1" applyFill="1" applyBorder="1" applyAlignment="1" applyProtection="1">
      <alignment horizontal="right" vertical="center"/>
      <protection hidden="1"/>
    </xf>
    <xf numFmtId="169" fontId="54" fillId="3" borderId="232" xfId="0" applyNumberFormat="1" applyFont="1" applyFill="1" applyBorder="1" applyAlignment="1" applyProtection="1">
      <alignment horizontal="right" vertical="center"/>
      <protection hidden="1"/>
    </xf>
    <xf numFmtId="169" fontId="54" fillId="3" borderId="153" xfId="0" applyNumberFormat="1" applyFont="1" applyFill="1" applyBorder="1" applyAlignment="1" applyProtection="1">
      <alignment horizontal="right"/>
      <protection hidden="1"/>
    </xf>
    <xf numFmtId="0" fontId="55" fillId="3" borderId="152" xfId="0" applyFont="1" applyFill="1" applyBorder="1" applyAlignment="1" applyProtection="1">
      <alignment horizontal="right"/>
      <protection hidden="1"/>
    </xf>
    <xf numFmtId="169" fontId="29" fillId="3" borderId="148" xfId="0" applyNumberFormat="1" applyFont="1" applyFill="1" applyBorder="1" applyAlignment="1" applyProtection="1">
      <alignment horizontal="right" vertical="center"/>
      <protection hidden="1"/>
    </xf>
    <xf numFmtId="169" fontId="29" fillId="3" borderId="135" xfId="0" applyNumberFormat="1" applyFont="1" applyFill="1" applyBorder="1" applyAlignment="1" applyProtection="1">
      <alignment horizontal="right" vertical="center"/>
      <protection hidden="1"/>
    </xf>
    <xf numFmtId="169" fontId="72" fillId="3" borderId="154" xfId="0" applyNumberFormat="1" applyFont="1" applyFill="1" applyBorder="1" applyAlignment="1" applyProtection="1">
      <alignment horizontal="right"/>
      <protection hidden="1"/>
    </xf>
    <xf numFmtId="0" fontId="73" fillId="3" borderId="153" xfId="0" applyFont="1" applyFill="1" applyBorder="1" applyAlignment="1" applyProtection="1">
      <alignment horizontal="right"/>
      <protection hidden="1"/>
    </xf>
    <xf numFmtId="0" fontId="73" fillId="3" borderId="152" xfId="0" applyFont="1" applyFill="1" applyBorder="1" applyAlignment="1" applyProtection="1">
      <alignment horizontal="right"/>
      <protection hidden="1"/>
    </xf>
    <xf numFmtId="0" fontId="27" fillId="3" borderId="143" xfId="0" applyFont="1" applyFill="1" applyBorder="1" applyAlignment="1" applyProtection="1">
      <alignment horizontal="left"/>
      <protection hidden="1"/>
    </xf>
    <xf numFmtId="0" fontId="27" fillId="3" borderId="151" xfId="0" applyFont="1" applyFill="1" applyBorder="1" applyAlignment="1" applyProtection="1">
      <alignment horizontal="left"/>
      <protection hidden="1"/>
    </xf>
    <xf numFmtId="169" fontId="29" fillId="3" borderId="143" xfId="0" applyNumberFormat="1" applyFont="1" applyFill="1" applyBorder="1" applyAlignment="1" applyProtection="1">
      <alignment horizontal="right" vertical="center"/>
      <protection hidden="1"/>
    </xf>
    <xf numFmtId="0" fontId="26" fillId="3" borderId="143" xfId="0" applyFont="1" applyFill="1" applyBorder="1" applyAlignment="1" applyProtection="1">
      <alignment horizontal="right" vertical="center"/>
      <protection hidden="1"/>
    </xf>
    <xf numFmtId="169" fontId="29" fillId="3" borderId="143" xfId="0" applyNumberFormat="1" applyFont="1" applyFill="1" applyBorder="1" applyAlignment="1" applyProtection="1">
      <alignment horizontal="right"/>
      <protection hidden="1"/>
    </xf>
    <xf numFmtId="0" fontId="27" fillId="3" borderId="143" xfId="0" applyFont="1" applyFill="1" applyBorder="1" applyAlignment="1" applyProtection="1">
      <alignment horizontal="right"/>
      <protection hidden="1"/>
    </xf>
    <xf numFmtId="0" fontId="27" fillId="3" borderId="144" xfId="0" applyFont="1" applyFill="1" applyBorder="1" applyAlignment="1" applyProtection="1">
      <alignment horizontal="right"/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154" xfId="0" applyFont="1" applyFill="1" applyBorder="1" applyAlignment="1" applyProtection="1">
      <alignment horizontal="left"/>
      <protection hidden="1"/>
    </xf>
    <xf numFmtId="0" fontId="27" fillId="3" borderId="153" xfId="0" applyFont="1" applyFill="1" applyBorder="1" applyAlignment="1" applyProtection="1">
      <alignment horizontal="left"/>
      <protection hidden="1"/>
    </xf>
    <xf numFmtId="0" fontId="27" fillId="3" borderId="31" xfId="0" applyFont="1" applyFill="1" applyBorder="1" applyAlignment="1" applyProtection="1">
      <alignment horizontal="center"/>
      <protection hidden="1"/>
    </xf>
    <xf numFmtId="0" fontId="27" fillId="3" borderId="0" xfId="0" applyFont="1" applyFill="1" applyBorder="1" applyAlignment="1" applyProtection="1">
      <alignment horizontal="center"/>
      <protection hidden="1"/>
    </xf>
    <xf numFmtId="0" fontId="27" fillId="3" borderId="140" xfId="0" applyFont="1" applyFill="1" applyBorder="1" applyAlignment="1" applyProtection="1">
      <alignment horizontal="center"/>
      <protection hidden="1"/>
    </xf>
    <xf numFmtId="0" fontId="32" fillId="3" borderId="0" xfId="0" applyFont="1" applyFill="1" applyAlignment="1" applyProtection="1">
      <alignment horizontal="center"/>
      <protection hidden="1"/>
    </xf>
    <xf numFmtId="4" fontId="28" fillId="3" borderId="224" xfId="0" applyNumberFormat="1" applyFont="1" applyFill="1" applyBorder="1" applyAlignment="1" applyProtection="1">
      <alignment horizontal="center"/>
      <protection hidden="1"/>
    </xf>
    <xf numFmtId="4" fontId="28" fillId="3" borderId="235" xfId="0" applyNumberFormat="1" applyFont="1" applyFill="1" applyBorder="1" applyAlignment="1" applyProtection="1">
      <alignment horizontal="center"/>
      <protection hidden="1"/>
    </xf>
    <xf numFmtId="4" fontId="28" fillId="3" borderId="225" xfId="0" applyNumberFormat="1" applyFont="1" applyFill="1" applyBorder="1" applyAlignment="1" applyProtection="1">
      <alignment horizontal="center"/>
      <protection hidden="1"/>
    </xf>
    <xf numFmtId="4" fontId="28" fillId="3" borderId="167" xfId="0" applyNumberFormat="1" applyFont="1" applyFill="1" applyBorder="1" applyAlignment="1" applyProtection="1">
      <alignment horizontal="center"/>
      <protection hidden="1"/>
    </xf>
    <xf numFmtId="4" fontId="28" fillId="3" borderId="236" xfId="0" applyNumberFormat="1" applyFont="1" applyFill="1" applyBorder="1" applyAlignment="1" applyProtection="1">
      <alignment horizontal="center"/>
      <protection hidden="1"/>
    </xf>
    <xf numFmtId="4" fontId="28" fillId="3" borderId="165" xfId="0" applyNumberFormat="1" applyFont="1" applyFill="1" applyBorder="1" applyAlignment="1" applyProtection="1">
      <alignment horizontal="center"/>
      <protection hidden="1"/>
    </xf>
    <xf numFmtId="0" fontId="28" fillId="3" borderId="151" xfId="0" applyFont="1" applyFill="1" applyBorder="1" applyAlignment="1" applyProtection="1">
      <alignment horizontal="center"/>
      <protection hidden="1"/>
    </xf>
    <xf numFmtId="0" fontId="28" fillId="3" borderId="235" xfId="0" applyFont="1" applyFill="1" applyBorder="1" applyAlignment="1" applyProtection="1">
      <alignment horizontal="center"/>
      <protection hidden="1"/>
    </xf>
    <xf numFmtId="0" fontId="28" fillId="3" borderId="225" xfId="0" applyFont="1" applyFill="1" applyBorder="1" applyAlignment="1" applyProtection="1">
      <alignment horizontal="center"/>
      <protection hidden="1"/>
    </xf>
    <xf numFmtId="0" fontId="81" fillId="3" borderId="5" xfId="0" applyFont="1" applyFill="1" applyBorder="1" applyAlignment="1" applyProtection="1">
      <alignment horizontal="center"/>
      <protection hidden="1"/>
    </xf>
    <xf numFmtId="0" fontId="27" fillId="3" borderId="140" xfId="0" applyFont="1" applyFill="1" applyBorder="1" applyAlignment="1" applyProtection="1">
      <alignment horizontal="left"/>
      <protection hidden="1"/>
    </xf>
    <xf numFmtId="4" fontId="28" fillId="3" borderId="150" xfId="0" applyNumberFormat="1" applyFont="1" applyFill="1" applyBorder="1" applyAlignment="1" applyProtection="1">
      <alignment horizontal="center"/>
      <protection hidden="1"/>
    </xf>
    <xf numFmtId="4" fontId="28" fillId="3" borderId="233" xfId="0" applyNumberFormat="1" applyFont="1" applyFill="1" applyBorder="1" applyAlignment="1" applyProtection="1">
      <alignment horizontal="center"/>
      <protection hidden="1"/>
    </xf>
    <xf numFmtId="4" fontId="28" fillId="3" borderId="234" xfId="0" applyNumberFormat="1" applyFont="1" applyFill="1" applyBorder="1" applyAlignment="1" applyProtection="1">
      <alignment horizontal="center"/>
      <protection hidden="1"/>
    </xf>
    <xf numFmtId="166" fontId="77" fillId="3" borderId="154" xfId="0" applyNumberFormat="1" applyFont="1" applyFill="1" applyBorder="1" applyAlignment="1" applyProtection="1">
      <alignment horizontal="right"/>
      <protection hidden="1"/>
    </xf>
    <xf numFmtId="166" fontId="77" fillId="3" borderId="152" xfId="0" applyNumberFormat="1" applyFont="1" applyFill="1" applyBorder="1" applyAlignment="1" applyProtection="1">
      <alignment horizontal="right"/>
      <protection hidden="1"/>
    </xf>
    <xf numFmtId="0" fontId="29" fillId="3" borderId="17" xfId="0" applyFont="1" applyFill="1" applyBorder="1" applyAlignment="1" applyProtection="1">
      <alignment horizontal="left"/>
      <protection hidden="1"/>
    </xf>
    <xf numFmtId="0" fontId="29" fillId="3" borderId="22" xfId="0" applyFont="1" applyFill="1" applyBorder="1" applyAlignment="1" applyProtection="1">
      <alignment horizontal="left"/>
      <protection hidden="1"/>
    </xf>
    <xf numFmtId="0" fontId="29" fillId="3" borderId="18" xfId="0" applyFont="1" applyFill="1" applyBorder="1" applyAlignment="1" applyProtection="1">
      <alignment horizontal="left"/>
      <protection hidden="1"/>
    </xf>
    <xf numFmtId="0" fontId="27" fillId="3" borderId="136" xfId="0" applyFont="1" applyFill="1" applyBorder="1" applyAlignment="1" applyProtection="1">
      <alignment horizontal="left"/>
      <protection hidden="1"/>
    </xf>
    <xf numFmtId="0" fontId="60" fillId="3" borderId="154" xfId="0" applyFont="1" applyFill="1" applyBorder="1" applyAlignment="1" applyProtection="1">
      <alignment horizontal="center" vertical="center"/>
      <protection hidden="1"/>
    </xf>
    <xf numFmtId="0" fontId="60" fillId="3" borderId="153" xfId="0" applyFont="1" applyFill="1" applyBorder="1" applyAlignment="1" applyProtection="1">
      <alignment horizontal="center" vertical="center"/>
      <protection hidden="1"/>
    </xf>
    <xf numFmtId="0" fontId="60" fillId="3" borderId="152" xfId="0" applyFont="1" applyFill="1" applyBorder="1" applyAlignment="1" applyProtection="1">
      <alignment horizontal="center" vertical="center"/>
      <protection hidden="1"/>
    </xf>
    <xf numFmtId="0" fontId="29" fillId="3" borderId="2" xfId="0" applyFont="1" applyFill="1" applyBorder="1" applyAlignment="1" applyProtection="1">
      <alignment horizontal="left"/>
      <protection hidden="1"/>
    </xf>
    <xf numFmtId="0" fontId="29" fillId="3" borderId="3" xfId="0" applyFont="1" applyFill="1" applyBorder="1" applyAlignment="1" applyProtection="1">
      <alignment horizontal="left"/>
      <protection hidden="1"/>
    </xf>
    <xf numFmtId="169" fontId="74" fillId="3" borderId="154" xfId="0" applyNumberFormat="1" applyFont="1" applyFill="1" applyBorder="1" applyAlignment="1" applyProtection="1">
      <alignment horizontal="right"/>
      <protection hidden="1"/>
    </xf>
    <xf numFmtId="169" fontId="74" fillId="3" borderId="153" xfId="0" applyNumberFormat="1" applyFont="1" applyFill="1" applyBorder="1" applyAlignment="1" applyProtection="1">
      <alignment horizontal="right"/>
      <protection hidden="1"/>
    </xf>
    <xf numFmtId="169" fontId="74" fillId="3" borderId="152" xfId="0" applyNumberFormat="1" applyFont="1" applyFill="1" applyBorder="1" applyAlignment="1" applyProtection="1">
      <alignment horizontal="right"/>
      <protection hidden="1"/>
    </xf>
    <xf numFmtId="169" fontId="74" fillId="3" borderId="133" xfId="0" applyNumberFormat="1" applyFont="1" applyFill="1" applyBorder="1" applyAlignment="1" applyProtection="1">
      <alignment horizontal="right"/>
      <protection hidden="1"/>
    </xf>
    <xf numFmtId="0" fontId="75" fillId="3" borderId="133" xfId="0" applyFont="1" applyFill="1" applyBorder="1" applyAlignment="1" applyProtection="1">
      <alignment horizontal="right"/>
      <protection hidden="1"/>
    </xf>
    <xf numFmtId="0" fontId="29" fillId="3" borderId="19" xfId="0" applyFont="1" applyFill="1" applyBorder="1" applyAlignment="1" applyProtection="1">
      <alignment horizontal="left"/>
      <protection hidden="1"/>
    </xf>
    <xf numFmtId="0" fontId="29" fillId="3" borderId="40" xfId="0" applyFont="1" applyFill="1" applyBorder="1" applyAlignment="1" applyProtection="1">
      <alignment horizontal="left"/>
      <protection hidden="1"/>
    </xf>
    <xf numFmtId="0" fontId="29" fillId="3" borderId="20" xfId="0" applyFont="1" applyFill="1" applyBorder="1" applyAlignment="1" applyProtection="1">
      <alignment horizontal="left"/>
      <protection hidden="1"/>
    </xf>
    <xf numFmtId="169" fontId="76" fillId="3" borderId="221" xfId="0" applyNumberFormat="1" applyFont="1" applyFill="1" applyBorder="1" applyAlignment="1" applyProtection="1">
      <alignment horizontal="center"/>
      <protection hidden="1"/>
    </xf>
    <xf numFmtId="169" fontId="76" fillId="3" borderId="220" xfId="0" applyNumberFormat="1" applyFont="1" applyFill="1" applyBorder="1" applyAlignment="1" applyProtection="1">
      <alignment horizontal="center"/>
      <protection hidden="1"/>
    </xf>
    <xf numFmtId="169" fontId="77" fillId="3" borderId="134" xfId="0" applyNumberFormat="1" applyFont="1" applyFill="1" applyBorder="1" applyAlignment="1" applyProtection="1">
      <alignment horizontal="right"/>
      <protection hidden="1"/>
    </xf>
    <xf numFmtId="0" fontId="77" fillId="3" borderId="136" xfId="0" applyFont="1" applyFill="1" applyBorder="1" applyAlignment="1" applyProtection="1">
      <alignment horizontal="right"/>
      <protection hidden="1"/>
    </xf>
    <xf numFmtId="4" fontId="2" fillId="0" borderId="44" xfId="0" applyNumberFormat="1" applyFont="1" applyBorder="1" applyAlignment="1" applyProtection="1">
      <alignment horizontal="right"/>
      <protection hidden="1"/>
    </xf>
    <xf numFmtId="4" fontId="2" fillId="0" borderId="21" xfId="0" applyNumberFormat="1" applyFont="1" applyBorder="1" applyAlignment="1" applyProtection="1">
      <alignment horizontal="right"/>
      <protection hidden="1"/>
    </xf>
    <xf numFmtId="0" fontId="2" fillId="0" borderId="75" xfId="0" applyNumberFormat="1" applyFont="1" applyBorder="1" applyAlignment="1" applyProtection="1">
      <protection hidden="1"/>
    </xf>
    <xf numFmtId="0" fontId="2" fillId="0" borderId="79" xfId="0" applyNumberFormat="1" applyFont="1" applyBorder="1" applyAlignment="1" applyProtection="1">
      <protection hidden="1"/>
    </xf>
    <xf numFmtId="0" fontId="2" fillId="0" borderId="21" xfId="0" applyNumberFormat="1" applyFont="1" applyBorder="1" applyAlignment="1" applyProtection="1">
      <alignment horizontal="right"/>
      <protection hidden="1"/>
    </xf>
    <xf numFmtId="0" fontId="2" fillId="0" borderId="15" xfId="0" applyNumberFormat="1" applyFont="1" applyBorder="1" applyAlignment="1" applyProtection="1">
      <alignment horizontal="right"/>
      <protection hidden="1"/>
    </xf>
    <xf numFmtId="14" fontId="2" fillId="0" borderId="0" xfId="0" applyNumberFormat="1" applyFont="1" applyAlignment="1" applyProtection="1">
      <alignment horizontal="left"/>
      <protection hidden="1"/>
    </xf>
    <xf numFmtId="0" fontId="2" fillId="0" borderId="238" xfId="0" applyFont="1" applyBorder="1" applyAlignment="1" applyProtection="1">
      <alignment horizontal="left"/>
      <protection hidden="1"/>
    </xf>
    <xf numFmtId="0" fontId="2" fillId="0" borderId="239" xfId="0" applyFont="1" applyBorder="1" applyAlignment="1" applyProtection="1">
      <alignment horizontal="left"/>
      <protection hidden="1"/>
    </xf>
    <xf numFmtId="0" fontId="6" fillId="0" borderId="239" xfId="0" applyFont="1" applyBorder="1" applyAlignment="1" applyProtection="1">
      <alignment horizontal="left" shrinkToFit="1"/>
      <protection hidden="1"/>
    </xf>
    <xf numFmtId="0" fontId="6" fillId="0" borderId="240" xfId="0" applyFont="1" applyBorder="1" applyAlignment="1" applyProtection="1">
      <alignment horizontal="left" shrinkToFit="1"/>
      <protection hidden="1"/>
    </xf>
    <xf numFmtId="0" fontId="2" fillId="0" borderId="241" xfId="0" applyFont="1" applyBorder="1" applyAlignment="1" applyProtection="1">
      <alignment horizontal="left"/>
      <protection hidden="1"/>
    </xf>
    <xf numFmtId="0" fontId="2" fillId="0" borderId="63" xfId="0" applyFont="1" applyBorder="1" applyAlignment="1" applyProtection="1">
      <alignment horizontal="left"/>
      <protection hidden="1"/>
    </xf>
    <xf numFmtId="0" fontId="6" fillId="0" borderId="63" xfId="0" applyFont="1" applyBorder="1" applyAlignment="1" applyProtection="1">
      <alignment horizontal="left" shrinkToFit="1"/>
      <protection hidden="1"/>
    </xf>
    <xf numFmtId="0" fontId="6" fillId="0" borderId="64" xfId="0" applyFont="1" applyBorder="1" applyAlignment="1" applyProtection="1">
      <alignment horizontal="left" shrinkToFit="1"/>
      <protection hidden="1"/>
    </xf>
    <xf numFmtId="0" fontId="6" fillId="0" borderId="242" xfId="0" applyFont="1" applyBorder="1" applyAlignment="1" applyProtection="1">
      <alignment horizontal="left" shrinkToFit="1"/>
      <protection hidden="1"/>
    </xf>
    <xf numFmtId="169" fontId="6" fillId="0" borderId="66" xfId="0" applyNumberFormat="1" applyFont="1" applyBorder="1" applyAlignment="1" applyProtection="1">
      <alignment horizontal="left" shrinkToFit="1"/>
      <protection hidden="1"/>
    </xf>
    <xf numFmtId="169" fontId="6" fillId="0" borderId="21" xfId="0" applyNumberFormat="1" applyFont="1" applyBorder="1" applyAlignment="1" applyProtection="1">
      <alignment horizontal="left" shrinkToFit="1"/>
      <protection hidden="1"/>
    </xf>
    <xf numFmtId="169" fontId="4" fillId="0" borderId="21" xfId="0" applyNumberFormat="1" applyFont="1" applyBorder="1" applyAlignment="1" applyProtection="1">
      <alignment horizontal="center" shrinkToFit="1"/>
      <protection hidden="1"/>
    </xf>
    <xf numFmtId="14" fontId="6" fillId="0" borderId="21" xfId="0" applyNumberFormat="1" applyFont="1" applyBorder="1" applyAlignment="1" applyProtection="1">
      <alignment horizontal="center"/>
      <protection hidden="1"/>
    </xf>
    <xf numFmtId="14" fontId="6" fillId="0" borderId="15" xfId="0" applyNumberFormat="1" applyFont="1" applyBorder="1" applyAlignment="1" applyProtection="1">
      <alignment horizontal="center"/>
      <protection hidden="1"/>
    </xf>
    <xf numFmtId="0" fontId="6" fillId="0" borderId="67" xfId="0" applyFont="1" applyBorder="1" applyAlignment="1" applyProtection="1">
      <alignment horizontal="left" shrinkToFit="1"/>
      <protection hidden="1"/>
    </xf>
    <xf numFmtId="0" fontId="2" fillId="0" borderId="243" xfId="0" applyFont="1" applyBorder="1" applyAlignment="1" applyProtection="1">
      <alignment horizontal="left"/>
      <protection hidden="1"/>
    </xf>
    <xf numFmtId="0" fontId="2" fillId="0" borderId="244" xfId="0" applyFont="1" applyBorder="1" applyAlignment="1" applyProtection="1">
      <alignment horizontal="left"/>
      <protection hidden="1"/>
    </xf>
    <xf numFmtId="0" fontId="6" fillId="0" borderId="244" xfId="0" applyFont="1" applyBorder="1" applyAlignment="1" applyProtection="1">
      <alignment horizontal="left" shrinkToFit="1"/>
      <protection hidden="1"/>
    </xf>
    <xf numFmtId="0" fontId="6" fillId="0" borderId="245" xfId="0" applyFont="1" applyBorder="1" applyAlignment="1" applyProtection="1">
      <alignment horizontal="left" shrinkToFit="1"/>
      <protection hidden="1"/>
    </xf>
    <xf numFmtId="0" fontId="11" fillId="0" borderId="0" xfId="0" applyFont="1" applyAlignment="1">
      <alignment horizontal="center" vertical="center"/>
    </xf>
    <xf numFmtId="169" fontId="2" fillId="0" borderId="75" xfId="0" applyNumberFormat="1" applyFont="1" applyBorder="1" applyAlignment="1" applyProtection="1">
      <alignment horizontal="right"/>
      <protection hidden="1"/>
    </xf>
    <xf numFmtId="169" fontId="2" fillId="0" borderId="21" xfId="0" applyNumberFormat="1" applyFont="1" applyBorder="1" applyAlignment="1" applyProtection="1">
      <alignment horizontal="right"/>
      <protection hidden="1"/>
    </xf>
    <xf numFmtId="4" fontId="2" fillId="0" borderId="41" xfId="0" applyNumberFormat="1" applyFont="1" applyBorder="1" applyAlignment="1" applyProtection="1">
      <alignment horizontal="right"/>
      <protection hidden="1"/>
    </xf>
    <xf numFmtId="0" fontId="2" fillId="0" borderId="84" xfId="0" applyFont="1" applyBorder="1" applyAlignment="1">
      <alignment horizontal="left" shrinkToFit="1"/>
    </xf>
    <xf numFmtId="0" fontId="0" fillId="0" borderId="44" xfId="0" applyBorder="1" applyAlignment="1">
      <alignment horizontal="left" shrinkToFit="1"/>
    </xf>
    <xf numFmtId="14" fontId="2" fillId="0" borderId="44" xfId="0" applyNumberFormat="1" applyFont="1" applyBorder="1" applyAlignment="1" applyProtection="1">
      <alignment horizontal="center"/>
      <protection hidden="1"/>
    </xf>
    <xf numFmtId="165" fontId="8" fillId="0" borderId="44" xfId="0" applyNumberFormat="1" applyFont="1" applyBorder="1" applyAlignment="1" applyProtection="1">
      <alignment horizontal="center"/>
    </xf>
    <xf numFmtId="0" fontId="2" fillId="0" borderId="44" xfId="0" applyFont="1" applyBorder="1" applyAlignment="1">
      <alignment horizontal="left" shrinkToFit="1"/>
    </xf>
    <xf numFmtId="165" fontId="8" fillId="0" borderId="11" xfId="0" applyNumberFormat="1" applyFont="1" applyBorder="1" applyAlignment="1" applyProtection="1">
      <alignment horizontal="center"/>
    </xf>
    <xf numFmtId="169" fontId="2" fillId="0" borderId="21" xfId="0" applyNumberFormat="1" applyFont="1" applyBorder="1" applyAlignment="1" applyProtection="1">
      <alignment horizontal="left"/>
      <protection hidden="1"/>
    </xf>
    <xf numFmtId="169" fontId="2" fillId="0" borderId="15" xfId="0" applyNumberFormat="1" applyFont="1" applyBorder="1" applyAlignment="1" applyProtection="1">
      <alignment horizontal="right"/>
      <protection hidden="1"/>
    </xf>
    <xf numFmtId="169" fontId="2" fillId="0" borderId="44" xfId="0" applyNumberFormat="1" applyFont="1" applyBorder="1" applyAlignment="1" applyProtection="1">
      <alignment horizontal="right"/>
      <protection hidden="1"/>
    </xf>
    <xf numFmtId="165" fontId="2" fillId="0" borderId="21" xfId="0" applyNumberFormat="1" applyFont="1" applyBorder="1" applyAlignment="1" applyProtection="1">
      <alignment horizontal="center"/>
      <protection hidden="1"/>
    </xf>
    <xf numFmtId="165" fontId="2" fillId="0" borderId="15" xfId="0" applyNumberFormat="1" applyFont="1" applyBorder="1" applyAlignment="1" applyProtection="1">
      <alignment horizontal="center"/>
      <protection hidden="1"/>
    </xf>
    <xf numFmtId="0" fontId="2" fillId="0" borderId="85" xfId="0" applyFont="1" applyBorder="1" applyAlignment="1" applyProtection="1">
      <alignment horizontal="left" shrinkToFit="1"/>
      <protection hidden="1"/>
    </xf>
    <xf numFmtId="0" fontId="2" fillId="0" borderId="21" xfId="0" applyFont="1" applyBorder="1" applyAlignment="1" applyProtection="1">
      <alignment horizontal="left" shrinkToFit="1"/>
      <protection hidden="1"/>
    </xf>
    <xf numFmtId="14" fontId="2" fillId="0" borderId="21" xfId="0" applyNumberFormat="1" applyFont="1" applyBorder="1" applyAlignment="1" applyProtection="1">
      <alignment horizontal="center"/>
      <protection hidden="1"/>
    </xf>
    <xf numFmtId="165" fontId="8" fillId="0" borderId="0" xfId="0" applyNumberFormat="1" applyFont="1" applyBorder="1" applyAlignment="1" applyProtection="1">
      <alignment horizontal="center"/>
    </xf>
    <xf numFmtId="0" fontId="2" fillId="0" borderId="85" xfId="0" applyFont="1" applyBorder="1" applyAlignment="1">
      <alignment horizontal="left" shrinkToFit="1"/>
    </xf>
    <xf numFmtId="0" fontId="0" fillId="0" borderId="21" xfId="0" applyBorder="1" applyAlignment="1">
      <alignment horizontal="left" shrinkToFit="1"/>
    </xf>
    <xf numFmtId="165" fontId="8" fillId="0" borderId="21" xfId="0" applyNumberFormat="1" applyFont="1" applyBorder="1" applyAlignment="1" applyProtection="1">
      <alignment horizontal="center"/>
    </xf>
    <xf numFmtId="0" fontId="2" fillId="0" borderId="21" xfId="0" applyFont="1" applyBorder="1" applyAlignment="1">
      <alignment horizontal="left" shrinkToFit="1"/>
    </xf>
    <xf numFmtId="165" fontId="8" fillId="0" borderId="36" xfId="0" applyNumberFormat="1" applyFont="1" applyBorder="1" applyAlignment="1" applyProtection="1">
      <alignment horizontal="center"/>
    </xf>
    <xf numFmtId="0" fontId="2" fillId="0" borderId="85" xfId="0" applyFont="1" applyBorder="1" applyAlignment="1" applyProtection="1">
      <alignment horizontal="center" shrinkToFit="1"/>
      <protection hidden="1"/>
    </xf>
    <xf numFmtId="0" fontId="2" fillId="0" borderId="21" xfId="0" applyFont="1" applyBorder="1" applyAlignment="1" applyProtection="1">
      <alignment horizontal="center" shrinkToFit="1"/>
      <protection hidden="1"/>
    </xf>
    <xf numFmtId="0" fontId="2" fillId="0" borderId="0" xfId="0" applyFont="1" applyBorder="1" applyAlignment="1">
      <alignment horizontal="left" shrinkToFit="1"/>
    </xf>
    <xf numFmtId="0" fontId="0" fillId="0" borderId="0" xfId="0" applyBorder="1" applyAlignment="1">
      <alignment horizontal="left" shrinkToFit="1"/>
    </xf>
    <xf numFmtId="0" fontId="2" fillId="0" borderId="0" xfId="0" applyFont="1" applyBorder="1" applyAlignment="1" applyProtection="1">
      <alignment horizontal="left" shrinkToFit="1"/>
      <protection hidden="1"/>
    </xf>
    <xf numFmtId="0" fontId="2" fillId="0" borderId="81" xfId="0" applyFont="1" applyBorder="1" applyAlignment="1">
      <alignment horizontal="left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32" xfId="0" applyFont="1" applyBorder="1" applyAlignment="1">
      <alignment horizontal="left" vertical="center" wrapText="1"/>
    </xf>
    <xf numFmtId="0" fontId="2" fillId="0" borderId="80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4" fontId="2" fillId="0" borderId="70" xfId="0" applyNumberFormat="1" applyFont="1" applyBorder="1" applyAlignment="1" applyProtection="1">
      <alignment horizontal="right"/>
      <protection hidden="1"/>
    </xf>
    <xf numFmtId="0" fontId="2" fillId="0" borderId="48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2" fillId="0" borderId="73" xfId="0" applyFont="1" applyBorder="1" applyAlignment="1">
      <alignment horizontal="left"/>
    </xf>
    <xf numFmtId="0" fontId="2" fillId="0" borderId="57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39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left" vertical="center" wrapText="1"/>
    </xf>
    <xf numFmtId="0" fontId="2" fillId="0" borderId="53" xfId="0" applyFont="1" applyBorder="1" applyAlignment="1">
      <alignment horizontal="left" vertical="center" wrapText="1"/>
    </xf>
    <xf numFmtId="4" fontId="2" fillId="0" borderId="75" xfId="0" applyNumberFormat="1" applyFont="1" applyBorder="1" applyAlignment="1" applyProtection="1">
      <alignment horizontal="right"/>
      <protection hidden="1"/>
    </xf>
    <xf numFmtId="0" fontId="3" fillId="0" borderId="35" xfId="0" applyFont="1" applyBorder="1" applyAlignment="1" applyProtection="1">
      <alignment horizontal="left" vertical="top" wrapText="1"/>
      <protection hidden="1"/>
    </xf>
    <xf numFmtId="0" fontId="3" fillId="0" borderId="0" xfId="0" applyFont="1" applyBorder="1" applyAlignment="1" applyProtection="1">
      <alignment horizontal="left" vertical="top" wrapText="1"/>
      <protection hidden="1"/>
    </xf>
    <xf numFmtId="0" fontId="3" fillId="0" borderId="36" xfId="0" applyFont="1" applyBorder="1" applyAlignment="1" applyProtection="1">
      <alignment horizontal="left" vertical="top" wrapText="1"/>
      <protection hidden="1"/>
    </xf>
    <xf numFmtId="0" fontId="3" fillId="0" borderId="37" xfId="0" applyFont="1" applyBorder="1" applyAlignment="1" applyProtection="1">
      <alignment horizontal="left" vertical="top" wrapText="1"/>
      <protection hidden="1"/>
    </xf>
    <xf numFmtId="0" fontId="3" fillId="0" borderId="54" xfId="0" applyFont="1" applyBorder="1" applyAlignment="1" applyProtection="1">
      <alignment horizontal="left" vertical="top" wrapText="1"/>
      <protection hidden="1"/>
    </xf>
    <xf numFmtId="0" fontId="3" fillId="0" borderId="38" xfId="0" applyFont="1" applyBorder="1" applyAlignment="1" applyProtection="1">
      <alignment horizontal="left" vertical="top" wrapText="1"/>
      <protection hidden="1"/>
    </xf>
    <xf numFmtId="169" fontId="2" fillId="0" borderId="27" xfId="0" applyNumberFormat="1" applyFont="1" applyBorder="1" applyAlignment="1" applyProtection="1">
      <alignment horizontal="right"/>
      <protection hidden="1"/>
    </xf>
    <xf numFmtId="0" fontId="2" fillId="0" borderId="27" xfId="0" applyFont="1" applyBorder="1" applyAlignment="1" applyProtection="1">
      <alignment horizontal="right"/>
      <protection hidden="1"/>
    </xf>
    <xf numFmtId="0" fontId="6" fillId="0" borderId="22" xfId="0" applyFont="1" applyBorder="1" applyAlignment="1" applyProtection="1">
      <alignment horizontal="right" vertical="center"/>
      <protection hidden="1"/>
    </xf>
    <xf numFmtId="0" fontId="6" fillId="0" borderId="40" xfId="0" applyFont="1" applyBorder="1" applyAlignment="1" applyProtection="1">
      <alignment horizontal="right" vertical="center"/>
      <protection hidden="1"/>
    </xf>
    <xf numFmtId="171" fontId="6" fillId="0" borderId="39" xfId="0" applyNumberFormat="1" applyFont="1" applyBorder="1" applyAlignment="1" applyProtection="1">
      <alignment horizontal="right" vertical="center"/>
      <protection hidden="1"/>
    </xf>
    <xf numFmtId="0" fontId="0" fillId="0" borderId="52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54" xfId="0" applyBorder="1" applyProtection="1">
      <protection hidden="1"/>
    </xf>
    <xf numFmtId="0" fontId="6" fillId="0" borderId="52" xfId="0" applyFont="1" applyBorder="1" applyAlignment="1" applyProtection="1">
      <alignment horizontal="center" vertical="center"/>
      <protection hidden="1"/>
    </xf>
    <xf numFmtId="0" fontId="6" fillId="0" borderId="54" xfId="0" applyFont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left" wrapText="1"/>
    </xf>
    <xf numFmtId="0" fontId="2" fillId="0" borderId="21" xfId="0" applyFont="1" applyBorder="1" applyAlignment="1" applyProtection="1">
      <alignment horizontal="right"/>
      <protection hidden="1"/>
    </xf>
    <xf numFmtId="0" fontId="2" fillId="0" borderId="44" xfId="0" applyFont="1" applyBorder="1" applyAlignment="1" applyProtection="1">
      <alignment horizontal="right"/>
      <protection hidden="1"/>
    </xf>
    <xf numFmtId="166" fontId="2" fillId="0" borderId="21" xfId="0" applyNumberFormat="1" applyFont="1" applyBorder="1" applyAlignment="1" applyProtection="1">
      <alignment horizontal="right"/>
      <protection hidden="1"/>
    </xf>
    <xf numFmtId="169" fontId="2" fillId="0" borderId="21" xfId="0" applyNumberFormat="1" applyFont="1" applyBorder="1" applyAlignment="1" applyProtection="1">
      <alignment horizontal="center"/>
      <protection hidden="1"/>
    </xf>
    <xf numFmtId="170" fontId="2" fillId="0" borderId="21" xfId="0" applyNumberFormat="1" applyFont="1" applyBorder="1" applyAlignment="1" applyProtection="1">
      <alignment horizontal="right"/>
      <protection hidden="1"/>
    </xf>
    <xf numFmtId="0" fontId="3" fillId="0" borderId="8" xfId="0" applyFont="1" applyBorder="1" applyAlignment="1" applyProtection="1">
      <alignment horizontal="left"/>
      <protection hidden="1"/>
    </xf>
    <xf numFmtId="0" fontId="3" fillId="0" borderId="70" xfId="0" applyFont="1" applyBorder="1" applyAlignment="1" applyProtection="1">
      <alignment horizontal="left"/>
      <protection hidden="1"/>
    </xf>
    <xf numFmtId="0" fontId="3" fillId="0" borderId="88" xfId="0" applyFont="1" applyBorder="1" applyAlignment="1" applyProtection="1">
      <alignment horizontal="left"/>
      <protection hidden="1"/>
    </xf>
    <xf numFmtId="0" fontId="3" fillId="0" borderId="12" xfId="0" applyFont="1" applyBorder="1" applyAlignment="1" applyProtection="1">
      <alignment horizontal="left"/>
      <protection hidden="1"/>
    </xf>
    <xf numFmtId="0" fontId="3" fillId="0" borderId="21" xfId="0" applyFont="1" applyBorder="1" applyAlignment="1" applyProtection="1">
      <alignment horizontal="left"/>
      <protection hidden="1"/>
    </xf>
    <xf numFmtId="0" fontId="3" fillId="0" borderId="89" xfId="0" applyFont="1" applyBorder="1" applyAlignment="1" applyProtection="1">
      <alignment horizontal="left"/>
      <protection hidden="1"/>
    </xf>
    <xf numFmtId="2" fontId="0" fillId="0" borderId="8" xfId="0" applyNumberFormat="1" applyBorder="1" applyAlignment="1" applyProtection="1">
      <alignment horizontal="right"/>
      <protection hidden="1"/>
    </xf>
    <xf numFmtId="2" fontId="0" fillId="0" borderId="70" xfId="0" applyNumberFormat="1" applyBorder="1" applyAlignment="1" applyProtection="1">
      <alignment horizontal="right"/>
      <protection hidden="1"/>
    </xf>
    <xf numFmtId="2" fontId="0" fillId="0" borderId="17" xfId="0" applyNumberFormat="1" applyBorder="1" applyAlignment="1" applyProtection="1">
      <alignment horizontal="right"/>
      <protection hidden="1"/>
    </xf>
    <xf numFmtId="2" fontId="0" fillId="0" borderId="22" xfId="0" applyNumberFormat="1" applyBorder="1" applyAlignment="1" applyProtection="1">
      <alignment horizontal="right"/>
      <protection hidden="1"/>
    </xf>
    <xf numFmtId="0" fontId="6" fillId="0" borderId="61" xfId="0" applyFont="1" applyBorder="1" applyAlignment="1" applyProtection="1">
      <alignment horizontal="left" shrinkToFit="1"/>
      <protection hidden="1"/>
    </xf>
    <xf numFmtId="0" fontId="6" fillId="0" borderId="62" xfId="0" applyFont="1" applyBorder="1" applyAlignment="1" applyProtection="1">
      <alignment horizontal="left" shrinkToFit="1"/>
      <protection hidden="1"/>
    </xf>
    <xf numFmtId="0" fontId="6" fillId="0" borderId="65" xfId="0" applyFont="1" applyBorder="1" applyAlignment="1" applyProtection="1">
      <alignment horizontal="left" shrinkToFit="1"/>
      <protection hidden="1"/>
    </xf>
    <xf numFmtId="14" fontId="6" fillId="0" borderId="13" xfId="0" applyNumberFormat="1" applyFont="1" applyBorder="1" applyAlignment="1" applyProtection="1">
      <alignment horizontal="center"/>
      <protection hidden="1"/>
    </xf>
    <xf numFmtId="2" fontId="0" fillId="0" borderId="12" xfId="0" applyNumberFormat="1" applyBorder="1" applyAlignment="1" applyProtection="1">
      <alignment horizontal="right"/>
      <protection hidden="1"/>
    </xf>
    <xf numFmtId="2" fontId="0" fillId="0" borderId="21" xfId="0" applyNumberFormat="1" applyBorder="1" applyAlignment="1" applyProtection="1">
      <alignment horizontal="right"/>
      <protection hidden="1"/>
    </xf>
    <xf numFmtId="0" fontId="3" fillId="0" borderId="24" xfId="0" applyFont="1" applyBorder="1" applyAlignment="1" applyProtection="1">
      <alignment horizontal="left"/>
      <protection hidden="1"/>
    </xf>
    <xf numFmtId="0" fontId="3" fillId="0" borderId="41" xfId="0" applyFont="1" applyBorder="1" applyAlignment="1" applyProtection="1">
      <alignment horizontal="left"/>
      <protection hidden="1"/>
    </xf>
    <xf numFmtId="0" fontId="3" fillId="0" borderId="90" xfId="0" applyFont="1" applyBorder="1" applyAlignment="1" applyProtection="1">
      <alignment horizontal="left"/>
      <protection hidden="1"/>
    </xf>
    <xf numFmtId="0" fontId="6" fillId="0" borderId="68" xfId="0" applyFont="1" applyBorder="1" applyAlignment="1" applyProtection="1">
      <alignment horizontal="left" shrinkToFit="1"/>
      <protection hidden="1"/>
    </xf>
    <xf numFmtId="0" fontId="6" fillId="0" borderId="69" xfId="0" applyFont="1" applyBorder="1" applyAlignment="1" applyProtection="1">
      <alignment horizontal="left" shrinkToFit="1"/>
      <protection hidden="1"/>
    </xf>
    <xf numFmtId="2" fontId="0" fillId="0" borderId="91" xfId="0" applyNumberFormat="1" applyBorder="1" applyAlignment="1" applyProtection="1">
      <alignment horizontal="right"/>
      <protection hidden="1"/>
    </xf>
    <xf numFmtId="2" fontId="0" fillId="0" borderId="45" xfId="0" applyNumberFormat="1" applyBorder="1" applyAlignment="1" applyProtection="1">
      <alignment horizontal="right"/>
      <protection hidden="1"/>
    </xf>
    <xf numFmtId="2" fontId="0" fillId="0" borderId="31" xfId="0" applyNumberFormat="1" applyBorder="1" applyAlignment="1" applyProtection="1">
      <alignment horizontal="right"/>
      <protection hidden="1"/>
    </xf>
    <xf numFmtId="2" fontId="0" fillId="0" borderId="0" xfId="0" applyNumberFormat="1" applyBorder="1" applyAlignment="1" applyProtection="1">
      <alignment horizontal="right"/>
      <protection hidden="1"/>
    </xf>
    <xf numFmtId="2" fontId="0" fillId="0" borderId="24" xfId="0" applyNumberFormat="1" applyBorder="1" applyAlignment="1" applyProtection="1">
      <alignment horizontal="right"/>
      <protection hidden="1"/>
    </xf>
    <xf numFmtId="2" fontId="0" fillId="0" borderId="41" xfId="0" applyNumberFormat="1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right"/>
      <protection hidden="1"/>
    </xf>
    <xf numFmtId="0" fontId="0" fillId="0" borderId="21" xfId="0" applyBorder="1" applyAlignment="1" applyProtection="1">
      <alignment horizontal="right"/>
      <protection hidden="1"/>
    </xf>
    <xf numFmtId="169" fontId="0" fillId="0" borderId="12" xfId="0" applyNumberFormat="1" applyBorder="1" applyAlignment="1" applyProtection="1">
      <alignment horizontal="right"/>
      <protection hidden="1"/>
    </xf>
    <xf numFmtId="169" fontId="0" fillId="0" borderId="8" xfId="0" applyNumberFormat="1" applyBorder="1" applyAlignment="1" applyProtection="1">
      <alignment horizontal="right"/>
      <protection hidden="1"/>
    </xf>
    <xf numFmtId="0" fontId="0" fillId="0" borderId="70" xfId="0" applyBorder="1" applyAlignment="1" applyProtection="1">
      <alignment horizontal="right"/>
      <protection hidden="1"/>
    </xf>
    <xf numFmtId="2" fontId="0" fillId="0" borderId="10" xfId="0" applyNumberFormat="1" applyBorder="1" applyAlignment="1" applyProtection="1">
      <alignment horizontal="right"/>
      <protection hidden="1"/>
    </xf>
    <xf numFmtId="2" fontId="0" fillId="0" borderId="44" xfId="0" applyNumberFormat="1" applyBorder="1" applyAlignment="1" applyProtection="1">
      <alignment horizontal="right"/>
      <protection hidden="1"/>
    </xf>
    <xf numFmtId="169" fontId="0" fillId="0" borderId="21" xfId="0" applyNumberFormat="1" applyBorder="1" applyAlignment="1" applyProtection="1">
      <alignment horizontal="right"/>
      <protection hidden="1"/>
    </xf>
    <xf numFmtId="169" fontId="0" fillId="0" borderId="24" xfId="0" applyNumberFormat="1" applyBorder="1" applyAlignment="1" applyProtection="1">
      <alignment horizontal="right"/>
      <protection hidden="1"/>
    </xf>
    <xf numFmtId="169" fontId="0" fillId="0" borderId="41" xfId="0" applyNumberFormat="1" applyBorder="1" applyAlignment="1" applyProtection="1">
      <alignment horizontal="right"/>
      <protection hidden="1"/>
    </xf>
    <xf numFmtId="169" fontId="4" fillId="0" borderId="22" xfId="0" applyNumberFormat="1" applyFont="1" applyBorder="1" applyAlignment="1" applyProtection="1">
      <alignment horizontal="right" vertical="center"/>
      <protection hidden="1"/>
    </xf>
    <xf numFmtId="0" fontId="0" fillId="0" borderId="40" xfId="0" applyBorder="1" applyAlignment="1" applyProtection="1">
      <alignment horizontal="right" vertical="center"/>
      <protection hidden="1"/>
    </xf>
    <xf numFmtId="0" fontId="4" fillId="0" borderId="18" xfId="0" applyFont="1" applyBorder="1" applyAlignment="1" applyProtection="1">
      <alignment horizontal="left" vertical="center"/>
      <protection hidden="1"/>
    </xf>
    <xf numFmtId="0" fontId="4" fillId="0" borderId="20" xfId="0" applyFont="1" applyBorder="1" applyAlignment="1" applyProtection="1">
      <alignment horizontal="left" vertical="center"/>
      <protection hidden="1"/>
    </xf>
    <xf numFmtId="166" fontId="0" fillId="0" borderId="1" xfId="0" applyNumberFormat="1" applyBorder="1" applyAlignment="1" applyProtection="1">
      <alignment horizontal="right"/>
      <protection hidden="1"/>
    </xf>
    <xf numFmtId="169" fontId="50" fillId="3" borderId="170" xfId="0" applyNumberFormat="1" applyFont="1" applyFill="1" applyBorder="1" applyAlignment="1" applyProtection="1">
      <alignment horizontal="left" vertical="center"/>
      <protection hidden="1"/>
    </xf>
    <xf numFmtId="169" fontId="50" fillId="3" borderId="172" xfId="0" applyNumberFormat="1" applyFont="1" applyFill="1" applyBorder="1" applyAlignment="1" applyProtection="1">
      <alignment horizontal="left" vertical="center"/>
      <protection hidden="1"/>
    </xf>
    <xf numFmtId="169" fontId="44" fillId="3" borderId="214" xfId="0" applyNumberFormat="1" applyFont="1" applyFill="1" applyBorder="1" applyAlignment="1" applyProtection="1">
      <alignment horizontal="right" shrinkToFit="1"/>
      <protection hidden="1"/>
    </xf>
    <xf numFmtId="169" fontId="44" fillId="3" borderId="215" xfId="0" applyNumberFormat="1" applyFont="1" applyFill="1" applyBorder="1" applyAlignment="1" applyProtection="1">
      <alignment horizontal="right" shrinkToFit="1"/>
      <protection hidden="1"/>
    </xf>
    <xf numFmtId="0" fontId="26" fillId="3" borderId="0" xfId="0" applyFont="1" applyFill="1" applyProtection="1"/>
    <xf numFmtId="0" fontId="26" fillId="3" borderId="0" xfId="0" applyFont="1" applyFill="1" applyBorder="1" applyProtection="1"/>
    <xf numFmtId="0" fontId="27" fillId="3" borderId="0" xfId="0" applyFont="1" applyFill="1" applyProtection="1"/>
    <xf numFmtId="0" fontId="27" fillId="3" borderId="0" xfId="0" applyFont="1" applyFill="1" applyAlignment="1" applyProtection="1">
      <alignment horizontal="left"/>
    </xf>
    <xf numFmtId="170" fontId="70" fillId="3" borderId="154" xfId="0" applyNumberFormat="1" applyFont="1" applyFill="1" applyBorder="1" applyAlignment="1" applyProtection="1">
      <alignment horizontal="right"/>
      <protection locked="0"/>
    </xf>
    <xf numFmtId="0" fontId="71" fillId="3" borderId="153" xfId="0" applyFont="1" applyFill="1" applyBorder="1" applyAlignment="1" applyProtection="1">
      <alignment horizontal="right"/>
      <protection locked="0"/>
    </xf>
    <xf numFmtId="0" fontId="71" fillId="3" borderId="152" xfId="0" applyFont="1" applyFill="1" applyBorder="1" applyAlignment="1" applyProtection="1">
      <alignment horizontal="right"/>
      <protection locked="0"/>
    </xf>
    <xf numFmtId="170" fontId="70" fillId="3" borderId="153" xfId="0" applyNumberFormat="1" applyFont="1" applyFill="1" applyBorder="1" applyAlignment="1" applyProtection="1">
      <alignment horizontal="right"/>
      <protection locked="0"/>
    </xf>
    <xf numFmtId="170" fontId="70" fillId="3" borderId="152" xfId="0" applyNumberFormat="1" applyFont="1" applyFill="1" applyBorder="1" applyAlignment="1" applyProtection="1">
      <alignment horizontal="right"/>
      <protection locked="0"/>
    </xf>
    <xf numFmtId="4" fontId="42" fillId="3" borderId="170" xfId="0" applyNumberFormat="1" applyFont="1" applyFill="1" applyBorder="1" applyAlignment="1" applyProtection="1">
      <alignment horizontal="center"/>
      <protection locked="0"/>
    </xf>
    <xf numFmtId="4" fontId="42" fillId="3" borderId="172" xfId="0" applyNumberFormat="1" applyFont="1" applyFill="1" applyBorder="1" applyAlignment="1" applyProtection="1">
      <alignment horizontal="center"/>
      <protection locked="0"/>
    </xf>
    <xf numFmtId="4" fontId="42" fillId="3" borderId="170" xfId="0" applyNumberFormat="1" applyFont="1" applyFill="1" applyBorder="1" applyAlignment="1" applyProtection="1">
      <alignment horizontal="center" vertical="center"/>
      <protection locked="0"/>
    </xf>
    <xf numFmtId="4" fontId="42" fillId="3" borderId="172" xfId="0" applyNumberFormat="1" applyFont="1" applyFill="1" applyBorder="1" applyAlignment="1" applyProtection="1">
      <alignment horizontal="center" vertical="center"/>
      <protection locked="0"/>
    </xf>
    <xf numFmtId="4" fontId="42" fillId="3" borderId="171" xfId="0" applyNumberFormat="1" applyFont="1" applyFill="1" applyBorder="1" applyAlignment="1" applyProtection="1">
      <alignment horizontal="center" vertical="center"/>
      <protection locked="0"/>
    </xf>
    <xf numFmtId="0" fontId="54" fillId="3" borderId="169" xfId="0" applyFont="1" applyFill="1" applyBorder="1" applyAlignment="1" applyProtection="1">
      <alignment horizontal="center"/>
      <protection locked="0"/>
    </xf>
    <xf numFmtId="4" fontId="59" fillId="3" borderId="136" xfId="0" applyNumberFormat="1" applyFont="1" applyFill="1" applyBorder="1" applyAlignment="1" applyProtection="1">
      <alignment horizontal="right" vertical="center"/>
      <protection locked="0"/>
    </xf>
    <xf numFmtId="170" fontId="28" fillId="3" borderId="184" xfId="0" applyNumberFormat="1" applyFont="1" applyFill="1" applyBorder="1" applyAlignment="1" applyProtection="1">
      <alignment horizontal="center"/>
      <protection locked="0"/>
    </xf>
    <xf numFmtId="170" fontId="28" fillId="3" borderId="185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14" fontId="3" fillId="0" borderId="0" xfId="0" applyNumberFormat="1" applyFont="1" applyAlignment="1" applyProtection="1">
      <alignment horizontal="left"/>
      <protection hidden="1"/>
    </xf>
    <xf numFmtId="14" fontId="3" fillId="0" borderId="0" xfId="0" applyNumberFormat="1" applyFont="1" applyProtection="1">
      <protection hidden="1"/>
    </xf>
    <xf numFmtId="0" fontId="4" fillId="0" borderId="70" xfId="0" applyFont="1" applyBorder="1" applyAlignment="1" applyProtection="1">
      <alignment horizontal="left"/>
      <protection hidden="1"/>
    </xf>
    <xf numFmtId="0" fontId="4" fillId="0" borderId="9" xfId="0" applyFont="1" applyBorder="1" applyAlignment="1" applyProtection="1">
      <alignment horizontal="left"/>
      <protection hidden="1"/>
    </xf>
    <xf numFmtId="0" fontId="0" fillId="0" borderId="21" xfId="0" applyBorder="1" applyProtection="1">
      <protection hidden="1"/>
    </xf>
    <xf numFmtId="0" fontId="0" fillId="0" borderId="89" xfId="0" applyBorder="1" applyProtection="1">
      <protection hidden="1"/>
    </xf>
    <xf numFmtId="0" fontId="4" fillId="0" borderId="21" xfId="0" applyFont="1" applyBorder="1" applyAlignment="1" applyProtection="1">
      <alignment horizontal="left"/>
      <protection hidden="1"/>
    </xf>
    <xf numFmtId="0" fontId="0" fillId="0" borderId="21" xfId="0" applyBorder="1" applyAlignment="1" applyProtection="1">
      <alignment horizontal="left"/>
      <protection hidden="1"/>
    </xf>
    <xf numFmtId="0" fontId="0" fillId="0" borderId="13" xfId="0" applyBorder="1" applyAlignment="1" applyProtection="1">
      <alignment horizontal="left"/>
      <protection hidden="1"/>
    </xf>
    <xf numFmtId="169" fontId="4" fillId="0" borderId="21" xfId="0" applyNumberFormat="1" applyFont="1" applyBorder="1" applyAlignment="1" applyProtection="1">
      <alignment horizontal="left"/>
      <protection hidden="1"/>
    </xf>
    <xf numFmtId="14" fontId="4" fillId="0" borderId="21" xfId="0" applyNumberFormat="1" applyFont="1" applyBorder="1" applyAlignment="1" applyProtection="1">
      <alignment horizontal="center"/>
      <protection hidden="1"/>
    </xf>
    <xf numFmtId="14" fontId="4" fillId="0" borderId="13" xfId="0" applyNumberFormat="1" applyFont="1" applyBorder="1" applyAlignment="1" applyProtection="1">
      <alignment horizontal="center"/>
      <protection hidden="1"/>
    </xf>
    <xf numFmtId="166" fontId="6" fillId="0" borderId="0" xfId="0" applyNumberFormat="1" applyFont="1" applyProtection="1">
      <protection hidden="1"/>
    </xf>
    <xf numFmtId="0" fontId="0" fillId="0" borderId="41" xfId="0" applyBorder="1" applyProtection="1">
      <protection hidden="1"/>
    </xf>
    <xf numFmtId="0" fontId="0" fillId="0" borderId="90" xfId="0" applyBorder="1" applyProtection="1">
      <protection hidden="1"/>
    </xf>
    <xf numFmtId="0" fontId="4" fillId="0" borderId="41" xfId="0" applyFont="1" applyBorder="1" applyAlignment="1" applyProtection="1">
      <alignment horizontal="left"/>
      <protection hidden="1"/>
    </xf>
    <xf numFmtId="0" fontId="0" fillId="0" borderId="41" xfId="0" applyBorder="1" applyAlignment="1" applyProtection="1">
      <alignment horizontal="left"/>
      <protection hidden="1"/>
    </xf>
    <xf numFmtId="0" fontId="0" fillId="0" borderId="25" xfId="0" applyBorder="1" applyAlignment="1" applyProtection="1">
      <alignment horizontal="left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3" fillId="0" borderId="0" xfId="0" applyFont="1" applyProtection="1">
      <protection hidden="1"/>
    </xf>
    <xf numFmtId="0" fontId="2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6" fillId="0" borderId="49" xfId="0" applyFont="1" applyBorder="1" applyAlignment="1" applyProtection="1">
      <alignment horizontal="center" vertical="center"/>
      <protection hidden="1"/>
    </xf>
    <xf numFmtId="0" fontId="6" fillId="0" borderId="57" xfId="0" applyFont="1" applyBorder="1" applyAlignment="1" applyProtection="1">
      <alignment horizontal="center" vertical="center"/>
      <protection hidden="1"/>
    </xf>
    <xf numFmtId="0" fontId="6" fillId="0" borderId="93" xfId="0" applyFont="1" applyBorder="1" applyAlignment="1" applyProtection="1">
      <alignment horizontal="center" vertical="center"/>
      <protection hidden="1"/>
    </xf>
    <xf numFmtId="0" fontId="6" fillId="0" borderId="94" xfId="0" applyFont="1" applyBorder="1" applyAlignment="1" applyProtection="1">
      <alignment horizontal="center" vertical="center"/>
      <protection hidden="1"/>
    </xf>
    <xf numFmtId="0" fontId="6" fillId="0" borderId="50" xfId="0" applyFont="1" applyBorder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0" fillId="0" borderId="59" xfId="0" applyBorder="1" applyAlignment="1" applyProtection="1">
      <alignment horizontal="left" vertical="center" wrapText="1"/>
      <protection hidden="1"/>
    </xf>
    <xf numFmtId="0" fontId="0" fillId="0" borderId="43" xfId="0" applyBorder="1" applyAlignment="1" applyProtection="1">
      <alignment horizontal="left" vertical="center" wrapText="1"/>
      <protection hidden="1"/>
    </xf>
    <xf numFmtId="0" fontId="0" fillId="0" borderId="95" xfId="0" applyBorder="1" applyAlignment="1" applyProtection="1">
      <alignment horizontal="left" vertical="center" wrapText="1"/>
      <protection hidden="1"/>
    </xf>
    <xf numFmtId="0" fontId="0" fillId="0" borderId="96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121" xfId="0" applyBorder="1" applyAlignment="1" applyProtection="1">
      <alignment horizontal="center" vertical="center" wrapText="1"/>
      <protection hidden="1"/>
    </xf>
    <xf numFmtId="0" fontId="0" fillId="0" borderId="122" xfId="0" applyBorder="1" applyAlignment="1" applyProtection="1">
      <alignment horizontal="left" vertical="center" wrapText="1"/>
      <protection hidden="1"/>
    </xf>
    <xf numFmtId="0" fontId="0" fillId="0" borderId="22" xfId="0" applyBorder="1" applyAlignment="1" applyProtection="1">
      <alignment horizontal="left" vertical="center" wrapText="1"/>
      <protection hidden="1"/>
    </xf>
    <xf numFmtId="0" fontId="0" fillId="0" borderId="18" xfId="0" applyBorder="1" applyAlignment="1" applyProtection="1">
      <alignment horizontal="left" vertical="center" wrapText="1"/>
      <protection hidden="1"/>
    </xf>
    <xf numFmtId="0" fontId="0" fillId="0" borderId="17" xfId="0" applyBorder="1" applyAlignment="1" applyProtection="1">
      <alignment horizontal="center" vertical="center" wrapText="1"/>
      <protection hidden="1"/>
    </xf>
    <xf numFmtId="0" fontId="0" fillId="0" borderId="18" xfId="0" applyBorder="1" applyAlignment="1" applyProtection="1">
      <alignment horizontal="center" vertical="center" wrapText="1"/>
      <protection hidden="1"/>
    </xf>
    <xf numFmtId="0" fontId="0" fillId="0" borderId="125" xfId="0" applyBorder="1" applyAlignment="1" applyProtection="1">
      <alignment horizontal="left"/>
      <protection hidden="1"/>
    </xf>
    <xf numFmtId="0" fontId="0" fillId="0" borderId="127" xfId="0" applyBorder="1" applyAlignment="1" applyProtection="1">
      <alignment horizontal="left"/>
      <protection hidden="1"/>
    </xf>
    <xf numFmtId="2" fontId="4" fillId="0" borderId="128" xfId="0" applyNumberFormat="1" applyFont="1" applyBorder="1" applyAlignment="1" applyProtection="1">
      <alignment horizontal="center"/>
      <protection hidden="1"/>
    </xf>
    <xf numFmtId="0" fontId="0" fillId="0" borderId="126" xfId="0" applyBorder="1" applyAlignment="1" applyProtection="1">
      <alignment horizontal="center"/>
      <protection hidden="1"/>
    </xf>
    <xf numFmtId="2" fontId="4" fillId="0" borderId="129" xfId="0" applyNumberFormat="1" applyFont="1" applyBorder="1" applyAlignment="1" applyProtection="1">
      <alignment horizontal="center"/>
      <protection hidden="1"/>
    </xf>
    <xf numFmtId="0" fontId="0" fillId="0" borderId="129" xfId="0" applyBorder="1" applyAlignment="1" applyProtection="1">
      <alignment horizontal="center"/>
      <protection hidden="1"/>
    </xf>
    <xf numFmtId="167" fontId="4" fillId="0" borderId="125" xfId="0" applyNumberFormat="1" applyFont="1" applyBorder="1" applyAlignment="1" applyProtection="1">
      <alignment horizontal="center"/>
      <protection hidden="1"/>
    </xf>
    <xf numFmtId="167" fontId="0" fillId="0" borderId="125" xfId="0" applyNumberFormat="1" applyBorder="1" applyAlignment="1" applyProtection="1">
      <alignment horizontal="center"/>
      <protection hidden="1"/>
    </xf>
    <xf numFmtId="169" fontId="4" fillId="0" borderId="125" xfId="0" applyNumberFormat="1" applyFont="1" applyBorder="1" applyAlignment="1" applyProtection="1">
      <alignment horizontal="right"/>
      <protection hidden="1"/>
    </xf>
    <xf numFmtId="4" fontId="4" fillId="0" borderId="125" xfId="0" applyNumberFormat="1" applyFont="1" applyBorder="1" applyAlignment="1" applyProtection="1">
      <alignment horizontal="center"/>
      <protection hidden="1"/>
    </xf>
    <xf numFmtId="4" fontId="4" fillId="0" borderId="123" xfId="0" applyNumberFormat="1" applyFont="1" applyBorder="1" applyAlignment="1" applyProtection="1">
      <alignment horizontal="center"/>
      <protection hidden="1"/>
    </xf>
    <xf numFmtId="167" fontId="4" fillId="0" borderId="123" xfId="0" applyNumberFormat="1" applyFont="1" applyBorder="1" applyAlignment="1" applyProtection="1">
      <alignment horizontal="center"/>
      <protection hidden="1"/>
    </xf>
    <xf numFmtId="0" fontId="0" fillId="0" borderId="123" xfId="0" applyBorder="1" applyAlignment="1" applyProtection="1">
      <alignment horizontal="left"/>
      <protection hidden="1"/>
    </xf>
    <xf numFmtId="2" fontId="4" fillId="0" borderId="124" xfId="0" applyNumberFormat="1" applyFont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167" fontId="0" fillId="0" borderId="123" xfId="0" applyNumberFormat="1" applyBorder="1" applyAlignment="1" applyProtection="1">
      <alignment horizontal="center"/>
      <protection hidden="1"/>
    </xf>
    <xf numFmtId="169" fontId="4" fillId="0" borderId="123" xfId="0" applyNumberFormat="1" applyFont="1" applyBorder="1" applyAlignment="1" applyProtection="1">
      <alignment horizontal="right"/>
      <protection hidden="1"/>
    </xf>
    <xf numFmtId="0" fontId="0" fillId="0" borderId="124" xfId="0" applyBorder="1" applyAlignment="1" applyProtection="1">
      <alignment horizontal="left"/>
      <protection hidden="1"/>
    </xf>
    <xf numFmtId="4" fontId="4" fillId="0" borderId="124" xfId="0" applyNumberFormat="1" applyFont="1" applyBorder="1" applyAlignment="1" applyProtection="1">
      <alignment horizontal="center"/>
      <protection hidden="1"/>
    </xf>
    <xf numFmtId="167" fontId="4" fillId="0" borderId="124" xfId="0" applyNumberFormat="1" applyFont="1" applyBorder="1" applyAlignment="1" applyProtection="1">
      <alignment horizontal="center"/>
      <protection hidden="1"/>
    </xf>
    <xf numFmtId="169" fontId="4" fillId="0" borderId="124" xfId="0" applyNumberFormat="1" applyFont="1" applyBorder="1" applyAlignment="1" applyProtection="1">
      <alignment horizontal="right"/>
      <protection hidden="1"/>
    </xf>
    <xf numFmtId="167" fontId="0" fillId="0" borderId="124" xfId="0" applyNumberFormat="1" applyBorder="1" applyAlignment="1" applyProtection="1">
      <alignment horizontal="center"/>
      <protection hidden="1"/>
    </xf>
    <xf numFmtId="0" fontId="0" fillId="0" borderId="131" xfId="0" applyBorder="1" applyAlignment="1" applyProtection="1">
      <alignment horizontal="left"/>
      <protection hidden="1"/>
    </xf>
    <xf numFmtId="2" fontId="4" fillId="0" borderId="131" xfId="0" applyNumberFormat="1" applyFont="1" applyBorder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167" fontId="4" fillId="0" borderId="131" xfId="0" applyNumberFormat="1" applyFont="1" applyBorder="1" applyAlignment="1" applyProtection="1">
      <alignment horizontal="center"/>
      <protection hidden="1"/>
    </xf>
    <xf numFmtId="167" fontId="0" fillId="0" borderId="131" xfId="0" applyNumberFormat="1" applyBorder="1" applyAlignment="1" applyProtection="1">
      <alignment horizontal="center"/>
      <protection hidden="1"/>
    </xf>
    <xf numFmtId="169" fontId="4" fillId="0" borderId="131" xfId="0" applyNumberFormat="1" applyFont="1" applyBorder="1" applyAlignment="1" applyProtection="1">
      <alignment horizontal="right"/>
      <protection hidden="1"/>
    </xf>
    <xf numFmtId="4" fontId="4" fillId="0" borderId="131" xfId="0" applyNumberFormat="1" applyFont="1" applyBorder="1" applyAlignment="1" applyProtection="1">
      <alignment horizontal="center"/>
      <protection hidden="1"/>
    </xf>
    <xf numFmtId="4" fontId="4" fillId="0" borderId="130" xfId="0" applyNumberFormat="1" applyFont="1" applyBorder="1" applyAlignment="1" applyProtection="1">
      <alignment horizontal="center"/>
      <protection hidden="1"/>
    </xf>
    <xf numFmtId="167" fontId="4" fillId="0" borderId="130" xfId="0" applyNumberFormat="1" applyFont="1" applyBorder="1" applyAlignment="1" applyProtection="1">
      <alignment horizontal="center"/>
      <protection hidden="1"/>
    </xf>
    <xf numFmtId="169" fontId="4" fillId="0" borderId="130" xfId="0" applyNumberFormat="1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0" fillId="0" borderId="36" xfId="0" applyBorder="1" applyProtection="1">
      <protection hidden="1"/>
    </xf>
    <xf numFmtId="169" fontId="4" fillId="0" borderId="37" xfId="0" applyNumberFormat="1" applyFont="1" applyBorder="1" applyAlignment="1" applyProtection="1">
      <alignment horizontal="right"/>
      <protection hidden="1"/>
    </xf>
    <xf numFmtId="169" fontId="4" fillId="0" borderId="38" xfId="0" applyNumberFormat="1" applyFont="1" applyBorder="1" applyAlignment="1" applyProtection="1">
      <alignment horizontal="right"/>
      <protection hidden="1"/>
    </xf>
    <xf numFmtId="169" fontId="0" fillId="0" borderId="35" xfId="0" applyNumberFormat="1" applyBorder="1" applyProtection="1">
      <protection hidden="1"/>
    </xf>
    <xf numFmtId="169" fontId="4" fillId="0" borderId="33" xfId="0" applyNumberFormat="1" applyFont="1" applyBorder="1" applyAlignment="1" applyProtection="1">
      <alignment horizontal="right"/>
      <protection hidden="1"/>
    </xf>
    <xf numFmtId="169" fontId="4" fillId="0" borderId="34" xfId="0" applyNumberFormat="1" applyFont="1" applyBorder="1" applyAlignment="1" applyProtection="1">
      <alignment horizontal="right"/>
      <protection hidden="1"/>
    </xf>
    <xf numFmtId="0" fontId="0" fillId="0" borderId="81" xfId="0" applyBorder="1" applyProtection="1">
      <protection hidden="1"/>
    </xf>
    <xf numFmtId="0" fontId="0" fillId="0" borderId="132" xfId="0" applyBorder="1" applyProtection="1">
      <protection hidden="1"/>
    </xf>
    <xf numFmtId="166" fontId="0" fillId="0" borderId="0" xfId="0" applyNumberFormat="1" applyProtection="1">
      <protection hidden="1"/>
    </xf>
    <xf numFmtId="166" fontId="0" fillId="0" borderId="0" xfId="0" applyNumberFormat="1" applyAlignment="1" applyProtection="1">
      <alignment horizontal="right"/>
      <protection hidden="1"/>
    </xf>
    <xf numFmtId="0" fontId="0" fillId="0" borderId="58" xfId="0" applyBorder="1" applyAlignment="1" applyProtection="1">
      <alignment horizontal="left" vertical="center" wrapText="1"/>
      <protection hidden="1"/>
    </xf>
    <xf numFmtId="0" fontId="0" fillId="0" borderId="59" xfId="0" applyBorder="1" applyAlignment="1" applyProtection="1">
      <alignment horizontal="center" vertical="center" wrapText="1"/>
      <protection hidden="1"/>
    </xf>
    <xf numFmtId="0" fontId="0" fillId="0" borderId="95" xfId="0" applyBorder="1" applyAlignment="1" applyProtection="1">
      <alignment horizontal="center" vertical="center" wrapText="1"/>
      <protection hidden="1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97" xfId="0" applyBorder="1" applyAlignment="1" applyProtection="1">
      <alignment horizontal="center" vertical="center" wrapText="1"/>
      <protection hidden="1"/>
    </xf>
    <xf numFmtId="0" fontId="0" fillId="0" borderId="98" xfId="0" applyBorder="1" applyAlignment="1" applyProtection="1">
      <alignment horizontal="left" vertical="center" wrapText="1"/>
      <protection hidden="1"/>
    </xf>
    <xf numFmtId="0" fontId="0" fillId="0" borderId="106" xfId="0" applyBorder="1" applyAlignment="1" applyProtection="1">
      <alignment horizontal="center" vertical="center" wrapText="1"/>
      <protection hidden="1"/>
    </xf>
    <xf numFmtId="0" fontId="0" fillId="0" borderId="99" xfId="0" applyBorder="1" applyAlignment="1" applyProtection="1">
      <alignment horizontal="left"/>
      <protection hidden="1"/>
    </xf>
    <xf numFmtId="0" fontId="0" fillId="0" borderId="70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2" fontId="4" fillId="0" borderId="8" xfId="0" applyNumberFormat="1" applyFont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169" fontId="4" fillId="0" borderId="8" xfId="0" applyNumberFormat="1" applyFont="1" applyBorder="1" applyAlignment="1" applyProtection="1">
      <alignment horizontal="right"/>
      <protection hidden="1"/>
    </xf>
    <xf numFmtId="169" fontId="4" fillId="0" borderId="70" xfId="0" applyNumberFormat="1" applyFont="1" applyBorder="1" applyAlignment="1" applyProtection="1">
      <alignment horizontal="right"/>
      <protection hidden="1"/>
    </xf>
    <xf numFmtId="169" fontId="4" fillId="0" borderId="9" xfId="0" applyNumberFormat="1" applyFont="1" applyBorder="1" applyAlignment="1" applyProtection="1">
      <alignment horizontal="right"/>
      <protection hidden="1"/>
    </xf>
    <xf numFmtId="169" fontId="4" fillId="0" borderId="100" xfId="0" applyNumberFormat="1" applyFont="1" applyBorder="1" applyAlignment="1" applyProtection="1">
      <alignment horizontal="right"/>
      <protection hidden="1"/>
    </xf>
    <xf numFmtId="0" fontId="0" fillId="0" borderId="101" xfId="0" applyBorder="1" applyAlignment="1" applyProtection="1">
      <alignment horizontal="left" vertical="center" wrapText="1"/>
      <protection hidden="1"/>
    </xf>
    <xf numFmtId="0" fontId="0" fillId="0" borderId="70" xfId="0" applyBorder="1" applyAlignment="1" applyProtection="1">
      <alignment horizontal="left" vertical="center" wrapText="1"/>
      <protection hidden="1"/>
    </xf>
    <xf numFmtId="0" fontId="0" fillId="0" borderId="9" xfId="0" applyBorder="1" applyAlignment="1" applyProtection="1">
      <alignment horizontal="left" vertical="center" wrapText="1"/>
      <protection hidden="1"/>
    </xf>
    <xf numFmtId="4" fontId="4" fillId="0" borderId="8" xfId="0" applyNumberFormat="1" applyFont="1" applyBorder="1" applyAlignment="1" applyProtection="1">
      <alignment horizontal="center"/>
      <protection hidden="1"/>
    </xf>
    <xf numFmtId="4" fontId="4" fillId="0" borderId="9" xfId="0" applyNumberFormat="1" applyFont="1" applyBorder="1" applyAlignment="1" applyProtection="1">
      <alignment horizontal="center"/>
      <protection hidden="1"/>
    </xf>
    <xf numFmtId="169" fontId="4" fillId="0" borderId="82" xfId="0" applyNumberFormat="1" applyFont="1" applyBorder="1" applyAlignment="1" applyProtection="1">
      <alignment horizontal="right"/>
      <protection hidden="1"/>
    </xf>
    <xf numFmtId="169" fontId="4" fillId="0" borderId="107" xfId="0" applyNumberFormat="1" applyFont="1" applyBorder="1" applyAlignment="1" applyProtection="1">
      <alignment horizontal="right"/>
      <protection hidden="1"/>
    </xf>
    <xf numFmtId="0" fontId="0" fillId="0" borderId="85" xfId="0" applyBorder="1" applyAlignment="1" applyProtection="1">
      <alignment horizontal="left"/>
      <protection hidden="1"/>
    </xf>
    <xf numFmtId="2" fontId="4" fillId="0" borderId="10" xfId="0" applyNumberFormat="1" applyFont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169" fontId="4" fillId="0" borderId="12" xfId="0" applyNumberFormat="1" applyFont="1" applyBorder="1" applyAlignment="1" applyProtection="1">
      <alignment horizontal="right"/>
      <protection hidden="1"/>
    </xf>
    <xf numFmtId="169" fontId="4" fillId="0" borderId="21" xfId="0" applyNumberFormat="1" applyFont="1" applyBorder="1" applyAlignment="1" applyProtection="1">
      <alignment horizontal="right"/>
      <protection hidden="1"/>
    </xf>
    <xf numFmtId="169" fontId="4" fillId="0" borderId="13" xfId="0" applyNumberFormat="1" applyFont="1" applyBorder="1" applyAlignment="1" applyProtection="1">
      <alignment horizontal="right"/>
      <protection hidden="1"/>
    </xf>
    <xf numFmtId="0" fontId="0" fillId="0" borderId="102" xfId="0" applyBorder="1" applyAlignment="1" applyProtection="1">
      <alignment horizontal="right"/>
      <protection hidden="1"/>
    </xf>
    <xf numFmtId="0" fontId="0" fillId="0" borderId="103" xfId="0" applyBorder="1" applyAlignment="1" applyProtection="1">
      <alignment horizontal="left" vertical="center" wrapText="1"/>
      <protection hidden="1"/>
    </xf>
    <xf numFmtId="0" fontId="0" fillId="0" borderId="21" xfId="0" applyBorder="1" applyAlignment="1" applyProtection="1">
      <alignment horizontal="left" vertical="center" wrapText="1"/>
      <protection hidden="1"/>
    </xf>
    <xf numFmtId="0" fontId="0" fillId="0" borderId="13" xfId="0" applyBorder="1" applyAlignment="1" applyProtection="1">
      <alignment horizontal="left" vertical="center" wrapText="1"/>
      <protection hidden="1"/>
    </xf>
    <xf numFmtId="4" fontId="4" fillId="0" borderId="12" xfId="0" applyNumberFormat="1" applyFont="1" applyBorder="1" applyAlignment="1" applyProtection="1">
      <alignment horizontal="center"/>
      <protection hidden="1"/>
    </xf>
    <xf numFmtId="4" fontId="4" fillId="0" borderId="13" xfId="0" applyNumberFormat="1" applyFont="1" applyBorder="1" applyAlignment="1" applyProtection="1">
      <alignment horizontal="center"/>
      <protection hidden="1"/>
    </xf>
    <xf numFmtId="169" fontId="4" fillId="0" borderId="14" xfId="0" applyNumberFormat="1" applyFont="1" applyBorder="1" applyAlignment="1" applyProtection="1">
      <alignment horizontal="right"/>
      <protection hidden="1"/>
    </xf>
    <xf numFmtId="169" fontId="4" fillId="0" borderId="108" xfId="0" applyNumberFormat="1" applyFont="1" applyBorder="1" applyAlignment="1" applyProtection="1">
      <alignment horizontal="right"/>
      <protection hidden="1"/>
    </xf>
    <xf numFmtId="2" fontId="4" fillId="0" borderId="12" xfId="0" applyNumberFormat="1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87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8" xfId="0" applyBorder="1" applyAlignment="1" applyProtection="1">
      <alignment horizontal="left"/>
      <protection hidden="1"/>
    </xf>
    <xf numFmtId="2" fontId="4" fillId="0" borderId="29" xfId="0" applyNumberFormat="1" applyFont="1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9" fontId="4" fillId="0" borderId="29" xfId="0" applyNumberFormat="1" applyFont="1" applyBorder="1" applyAlignment="1" applyProtection="1">
      <alignment horizontal="right"/>
      <protection hidden="1"/>
    </xf>
    <xf numFmtId="169" fontId="4" fillId="0" borderId="27" xfId="0" applyNumberFormat="1" applyFont="1" applyBorder="1" applyAlignment="1" applyProtection="1">
      <alignment horizontal="right"/>
      <protection hidden="1"/>
    </xf>
    <xf numFmtId="169" fontId="4" fillId="0" borderId="28" xfId="0" applyNumberFormat="1" applyFont="1" applyBorder="1" applyAlignment="1" applyProtection="1">
      <alignment horizontal="right"/>
      <protection hidden="1"/>
    </xf>
    <xf numFmtId="0" fontId="0" fillId="0" borderId="27" xfId="0" applyBorder="1" applyAlignment="1" applyProtection="1">
      <alignment horizontal="right"/>
      <protection hidden="1"/>
    </xf>
    <xf numFmtId="0" fontId="0" fillId="0" borderId="104" xfId="0" applyBorder="1" applyAlignment="1" applyProtection="1">
      <alignment horizontal="right"/>
      <protection hidden="1"/>
    </xf>
    <xf numFmtId="0" fontId="0" fillId="0" borderId="105" xfId="0" applyBorder="1" applyAlignment="1" applyProtection="1">
      <alignment horizontal="left" vertical="center" wrapText="1"/>
      <protection hidden="1"/>
    </xf>
    <xf numFmtId="0" fontId="0" fillId="0" borderId="27" xfId="0" applyBorder="1" applyAlignment="1" applyProtection="1">
      <alignment horizontal="left" vertical="center" wrapText="1"/>
      <protection hidden="1"/>
    </xf>
    <xf numFmtId="0" fontId="0" fillId="0" borderId="28" xfId="0" applyBorder="1" applyAlignment="1" applyProtection="1">
      <alignment horizontal="left" vertical="center" wrapText="1"/>
      <protection hidden="1"/>
    </xf>
    <xf numFmtId="4" fontId="4" fillId="0" borderId="29" xfId="0" applyNumberFormat="1" applyFont="1" applyBorder="1" applyAlignment="1" applyProtection="1">
      <alignment horizontal="center"/>
      <protection hidden="1"/>
    </xf>
    <xf numFmtId="4" fontId="4" fillId="0" borderId="28" xfId="0" applyNumberFormat="1" applyFont="1" applyBorder="1" applyAlignment="1" applyProtection="1">
      <alignment horizontal="center"/>
      <protection hidden="1"/>
    </xf>
    <xf numFmtId="169" fontId="4" fillId="0" borderId="26" xfId="0" applyNumberFormat="1" applyFont="1" applyBorder="1" applyAlignment="1" applyProtection="1">
      <alignment horizontal="right"/>
      <protection hidden="1"/>
    </xf>
    <xf numFmtId="169" fontId="4" fillId="0" borderId="109" xfId="0" applyNumberFormat="1" applyFont="1" applyBorder="1" applyAlignment="1" applyProtection="1">
      <alignment horizontal="righ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54" xfId="0" applyBorder="1" applyAlignment="1" applyProtection="1">
      <alignment horizontal="right"/>
      <protection hidden="1"/>
    </xf>
    <xf numFmtId="0" fontId="0" fillId="0" borderId="38" xfId="0" applyBorder="1" applyAlignment="1" applyProtection="1">
      <alignment horizontal="right"/>
      <protection hidden="1"/>
    </xf>
    <xf numFmtId="0" fontId="0" fillId="0" borderId="35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110" xfId="0" applyBorder="1" applyAlignment="1" applyProtection="1">
      <alignment horizontal="left"/>
      <protection hidden="1"/>
    </xf>
    <xf numFmtId="0" fontId="0" fillId="0" borderId="75" xfId="0" applyBorder="1" applyAlignment="1" applyProtection="1">
      <alignment horizontal="left"/>
      <protection hidden="1"/>
    </xf>
    <xf numFmtId="0" fontId="0" fillId="0" borderId="76" xfId="0" applyBorder="1" applyAlignment="1" applyProtection="1">
      <alignment horizontal="left"/>
      <protection hidden="1"/>
    </xf>
    <xf numFmtId="169" fontId="4" fillId="0" borderId="78" xfId="0" applyNumberFormat="1" applyFont="1" applyBorder="1" applyAlignment="1" applyProtection="1">
      <alignment horizontal="right"/>
      <protection hidden="1"/>
    </xf>
    <xf numFmtId="169" fontId="4" fillId="0" borderId="75" xfId="0" applyNumberFormat="1" applyFont="1" applyBorder="1" applyAlignment="1" applyProtection="1">
      <alignment horizontal="right"/>
      <protection hidden="1"/>
    </xf>
    <xf numFmtId="169" fontId="4" fillId="0" borderId="111" xfId="0" applyNumberFormat="1" applyFont="1" applyBorder="1" applyAlignment="1" applyProtection="1">
      <alignment horizontal="right"/>
      <protection hidden="1"/>
    </xf>
    <xf numFmtId="169" fontId="4" fillId="0" borderId="112" xfId="0" applyNumberFormat="1" applyFont="1" applyBorder="1" applyAlignment="1" applyProtection="1">
      <alignment horizontal="right"/>
      <protection hidden="1"/>
    </xf>
    <xf numFmtId="169" fontId="4" fillId="0" borderId="113" xfId="0" applyNumberFormat="1" applyFont="1" applyBorder="1" applyAlignment="1" applyProtection="1">
      <alignment horizontal="right"/>
      <protection hidden="1"/>
    </xf>
    <xf numFmtId="169" fontId="4" fillId="0" borderId="114" xfId="0" applyNumberFormat="1" applyFont="1" applyBorder="1" applyAlignment="1" applyProtection="1">
      <alignment horizontal="right"/>
      <protection hidden="1"/>
    </xf>
    <xf numFmtId="169" fontId="4" fillId="0" borderId="115" xfId="0" applyNumberFormat="1" applyFont="1" applyBorder="1" applyAlignment="1" applyProtection="1">
      <alignment horizontal="right"/>
      <protection hidden="1"/>
    </xf>
    <xf numFmtId="0" fontId="0" fillId="0" borderId="86" xfId="0" applyBorder="1" applyAlignment="1" applyProtection="1">
      <alignment horizontal="left"/>
      <protection hidden="1"/>
    </xf>
    <xf numFmtId="169" fontId="4" fillId="0" borderId="116" xfId="0" applyNumberFormat="1" applyFont="1" applyBorder="1" applyAlignment="1" applyProtection="1">
      <alignment horizontal="right"/>
      <protection hidden="1"/>
    </xf>
    <xf numFmtId="169" fontId="4" fillId="0" borderId="117" xfId="0" applyNumberFormat="1" applyFont="1" applyBorder="1" applyAlignment="1" applyProtection="1">
      <alignment horizontal="right"/>
      <protection hidden="1"/>
    </xf>
    <xf numFmtId="0" fontId="0" fillId="0" borderId="33" xfId="0" applyBorder="1" applyAlignment="1" applyProtection="1">
      <alignment horizontal="left"/>
      <protection hidden="1"/>
    </xf>
    <xf numFmtId="0" fontId="0" fillId="0" borderId="60" xfId="0" applyBorder="1" applyAlignment="1" applyProtection="1">
      <alignment horizontal="left"/>
      <protection hidden="1"/>
    </xf>
    <xf numFmtId="0" fontId="0" fillId="0" borderId="118" xfId="0" applyBorder="1" applyAlignment="1" applyProtection="1">
      <alignment horizontal="left"/>
      <protection hidden="1"/>
    </xf>
    <xf numFmtId="169" fontId="4" fillId="0" borderId="73" xfId="0" applyNumberFormat="1" applyFont="1" applyBorder="1" applyAlignment="1" applyProtection="1">
      <alignment horizontal="right"/>
      <protection hidden="1"/>
    </xf>
    <xf numFmtId="0" fontId="0" fillId="0" borderId="57" xfId="0" applyBorder="1" applyAlignment="1" applyProtection="1">
      <alignment horizontal="right"/>
      <protection hidden="1"/>
    </xf>
    <xf numFmtId="0" fontId="0" fillId="0" borderId="93" xfId="0" applyBorder="1" applyAlignment="1" applyProtection="1">
      <alignment horizontal="right"/>
      <protection hidden="1"/>
    </xf>
    <xf numFmtId="169" fontId="4" fillId="0" borderId="119" xfId="0" applyNumberFormat="1" applyFont="1" applyBorder="1" applyAlignment="1" applyProtection="1">
      <alignment horizontal="right"/>
      <protection hidden="1"/>
    </xf>
    <xf numFmtId="0" fontId="0" fillId="0" borderId="120" xfId="0" applyBorder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right"/>
      <protection hidden="1"/>
    </xf>
    <xf numFmtId="0" fontId="7" fillId="0" borderId="0" xfId="0" applyFont="1" applyAlignment="1" applyProtection="1">
      <alignment horizontal="left"/>
      <protection hidden="1"/>
    </xf>
    <xf numFmtId="0" fontId="6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15" fillId="0" borderId="0" xfId="0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left"/>
      <protection hidden="1"/>
    </xf>
    <xf numFmtId="0" fontId="2" fillId="0" borderId="70" xfId="0" applyFont="1" applyBorder="1" applyAlignment="1" applyProtection="1">
      <alignment horizontal="left"/>
      <protection hidden="1"/>
    </xf>
    <xf numFmtId="0" fontId="2" fillId="0" borderId="9" xfId="0" applyFont="1" applyBorder="1" applyAlignment="1" applyProtection="1">
      <alignment horizontal="left"/>
      <protection hidden="1"/>
    </xf>
    <xf numFmtId="0" fontId="0" fillId="0" borderId="82" xfId="0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left"/>
      <protection hidden="1"/>
    </xf>
    <xf numFmtId="0" fontId="2" fillId="0" borderId="44" xfId="0" applyFont="1" applyBorder="1" applyAlignment="1" applyProtection="1">
      <alignment horizontal="left"/>
      <protection hidden="1"/>
    </xf>
    <xf numFmtId="0" fontId="2" fillId="0" borderId="71" xfId="0" applyFont="1" applyBorder="1" applyAlignment="1" applyProtection="1">
      <alignment horizontal="left"/>
      <protection hidden="1"/>
    </xf>
    <xf numFmtId="0" fontId="0" fillId="0" borderId="14" xfId="0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left"/>
      <protection hidden="1"/>
    </xf>
    <xf numFmtId="0" fontId="2" fillId="0" borderId="91" xfId="0" applyFont="1" applyBorder="1" applyAlignment="1" applyProtection="1">
      <alignment horizontal="left"/>
      <protection hidden="1"/>
    </xf>
    <xf numFmtId="0" fontId="0" fillId="0" borderId="45" xfId="0" applyBorder="1" applyAlignment="1" applyProtection="1">
      <alignment horizontal="left"/>
      <protection hidden="1"/>
    </xf>
    <xf numFmtId="0" fontId="0" fillId="0" borderId="92" xfId="0" applyBorder="1" applyAlignment="1" applyProtection="1">
      <alignment horizontal="left"/>
      <protection hidden="1"/>
    </xf>
    <xf numFmtId="0" fontId="0" fillId="0" borderId="23" xfId="0" quotePrefix="1" applyBorder="1" applyAlignment="1" applyProtection="1">
      <alignment horizontal="center"/>
      <protection hidden="1"/>
    </xf>
    <xf numFmtId="0" fontId="0" fillId="0" borderId="14" xfId="0" quotePrefix="1" applyBorder="1" applyAlignment="1" applyProtection="1">
      <alignment horizontal="center"/>
      <protection hidden="1"/>
    </xf>
    <xf numFmtId="0" fontId="2" fillId="0" borderId="24" xfId="0" applyFont="1" applyBorder="1" applyAlignment="1" applyProtection="1">
      <alignment horizontal="left"/>
      <protection hidden="1"/>
    </xf>
    <xf numFmtId="0" fontId="0" fillId="0" borderId="23" xfId="0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left"/>
      <protection hidden="1"/>
    </xf>
    <xf numFmtId="0" fontId="0" fillId="0" borderId="71" xfId="0" applyBorder="1" applyAlignment="1" applyProtection="1">
      <alignment horizontal="left"/>
      <protection hidden="1"/>
    </xf>
    <xf numFmtId="0" fontId="2" fillId="0" borderId="91" xfId="0" applyFont="1" applyBorder="1" applyAlignment="1" applyProtection="1">
      <alignment horizontal="left"/>
      <protection hidden="1"/>
    </xf>
    <xf numFmtId="0" fontId="0" fillId="0" borderId="45" xfId="0" applyBorder="1" applyAlignment="1" applyProtection="1">
      <alignment horizontal="left"/>
      <protection hidden="1"/>
    </xf>
    <xf numFmtId="0" fontId="0" fillId="0" borderId="92" xfId="0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17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hidden="1"/>
    </xf>
    <xf numFmtId="0" fontId="2" fillId="0" borderId="18" xfId="0" applyFont="1" applyBorder="1" applyAlignment="1" applyProtection="1">
      <alignment horizontal="left" vertical="center"/>
      <protection hidden="1"/>
    </xf>
    <xf numFmtId="0" fontId="2" fillId="0" borderId="19" xfId="0" applyFont="1" applyBorder="1" applyAlignment="1" applyProtection="1">
      <alignment horizontal="left" vertical="center"/>
      <protection hidden="1"/>
    </xf>
    <xf numFmtId="0" fontId="2" fillId="0" borderId="40" xfId="0" applyFont="1" applyBorder="1" applyAlignment="1" applyProtection="1">
      <alignment horizontal="left" vertical="center"/>
      <protection hidden="1"/>
    </xf>
    <xf numFmtId="0" fontId="2" fillId="0" borderId="20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vertical="justify" wrapText="1"/>
      <protection hidden="1"/>
    </xf>
    <xf numFmtId="0" fontId="8" fillId="0" borderId="0" xfId="0" applyFont="1" applyProtection="1">
      <protection hidden="1"/>
    </xf>
    <xf numFmtId="0" fontId="15" fillId="0" borderId="0" xfId="0" applyFont="1" applyAlignment="1" applyProtection="1">
      <alignment horizontal="left"/>
      <protection hidden="1"/>
    </xf>
    <xf numFmtId="0" fontId="22" fillId="0" borderId="0" xfId="0" applyFont="1" applyProtection="1">
      <protection hidden="1"/>
    </xf>
    <xf numFmtId="0" fontId="92" fillId="6" borderId="0" xfId="0" applyFont="1" applyFill="1" applyProtection="1"/>
    <xf numFmtId="0" fontId="93" fillId="6" borderId="0" xfId="0" applyFont="1" applyFill="1" applyProtection="1"/>
    <xf numFmtId="14" fontId="93" fillId="6" borderId="0" xfId="0" applyNumberFormat="1" applyFont="1" applyFill="1" applyProtection="1"/>
    <xf numFmtId="2" fontId="93" fillId="6" borderId="0" xfId="0" applyNumberFormat="1" applyFont="1" applyFill="1" applyProtection="1"/>
    <xf numFmtId="0" fontId="0" fillId="0" borderId="0" xfId="0" applyProtection="1"/>
    <xf numFmtId="0" fontId="94" fillId="0" borderId="0" xfId="0" applyFont="1" applyAlignment="1" applyProtection="1">
      <alignment horizontal="right" shrinkToFit="1"/>
    </xf>
    <xf numFmtId="0" fontId="94" fillId="0" borderId="0" xfId="0" applyFont="1" applyAlignment="1" applyProtection="1">
      <alignment horizontal="left" shrinkToFit="1"/>
    </xf>
    <xf numFmtId="2" fontId="0" fillId="0" borderId="0" xfId="0" applyNumberFormat="1" applyProtection="1"/>
    <xf numFmtId="1" fontId="0" fillId="0" borderId="0" xfId="0" applyNumberFormat="1" applyProtection="1"/>
    <xf numFmtId="166" fontId="0" fillId="0" borderId="0" xfId="0" applyNumberFormat="1" applyProtection="1"/>
    <xf numFmtId="14" fontId="0" fillId="0" borderId="0" xfId="0" applyNumberFormat="1" applyProtection="1"/>
    <xf numFmtId="168" fontId="0" fillId="0" borderId="0" xfId="0" applyNumberFormat="1" applyProtection="1"/>
    <xf numFmtId="0" fontId="95" fillId="0" borderId="0" xfId="0" applyFont="1" applyProtection="1"/>
    <xf numFmtId="172" fontId="0" fillId="0" borderId="0" xfId="0" applyNumberFormat="1" applyProtection="1"/>
    <xf numFmtId="0" fontId="0" fillId="0" borderId="0" xfId="0" applyNumberFormat="1" applyProtection="1"/>
  </cellXfs>
  <cellStyles count="6">
    <cellStyle name="Lien hypertexte" xfId="5" builtinId="8"/>
    <cellStyle name="Normal" xfId="0" builtinId="0"/>
    <cellStyle name="Style 1" xfId="1" xr:uid="{726B5C23-38A9-4EB5-A5BB-A2AC6EC1519D}"/>
    <cellStyle name="Style 2" xfId="2" xr:uid="{350DC3AD-3427-40E5-BC03-3B28F1BDC5BC}"/>
    <cellStyle name="Style 3" xfId="3" xr:uid="{13268B1F-B324-4EB6-89E0-9EA544C4C0B8}"/>
    <cellStyle name="Style 4" xfId="4" xr:uid="{C9CBBBB9-7A90-4F26-83C7-54D67742ADFC}"/>
  </cellStyles>
  <dxfs count="33"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0" formatCode="General"/>
    </dxf>
    <dxf>
      <numFmt numFmtId="168" formatCode="0.0"/>
    </dxf>
    <dxf>
      <numFmt numFmtId="172" formatCode="m/d/yyyy"/>
    </dxf>
    <dxf>
      <numFmt numFmtId="172" formatCode="m/d/yyyy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2BC"/>
        <name val="Calibri"/>
        <family val="2"/>
        <scheme val="minor"/>
      </font>
      <fill>
        <patternFill patternType="solid">
          <fgColor indexed="64"/>
          <bgColor rgb="FFFF8C5F"/>
        </patternFill>
      </fill>
    </dxf>
  </dxfs>
  <tableStyles count="0" defaultTableStyle="TableStyleMedium2" defaultPivotStyle="PivotStyleLight16"/>
  <colors>
    <mruColors>
      <color rgb="FF00FF99"/>
      <color rgb="FFFF9933"/>
      <color rgb="FFEDA8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66115</xdr:colOff>
      <xdr:row>197</xdr:row>
      <xdr:rowOff>1120</xdr:rowOff>
    </xdr:from>
    <xdr:to>
      <xdr:col>18</xdr:col>
      <xdr:colOff>267821</xdr:colOff>
      <xdr:row>198</xdr:row>
      <xdr:rowOff>135218</xdr:rowOff>
    </xdr:to>
    <xdr:sp macro="" textlink="">
      <xdr:nvSpPr>
        <xdr:cNvPr id="2" name="Freefor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 bwMode="auto">
        <a:xfrm>
          <a:off x="5736665" y="33884720"/>
          <a:ext cx="633506" cy="337298"/>
        </a:xfrm>
        <a:custGeom>
          <a:avLst/>
          <a:gdLst>
            <a:gd name="T0" fmla="*/ 0 w 157"/>
            <a:gd name="T1" fmla="*/ 0 h 20"/>
            <a:gd name="T2" fmla="*/ 2147483646 w 157"/>
            <a:gd name="T3" fmla="*/ 2147483646 h 20"/>
            <a:gd name="T4" fmla="*/ 2147483646 w 157"/>
            <a:gd name="T5" fmla="*/ 2147483646 h 20"/>
            <a:gd name="T6" fmla="*/ 0 60000 65536"/>
            <a:gd name="T7" fmla="*/ 0 60000 65536"/>
            <a:gd name="T8" fmla="*/ 0 60000 65536"/>
            <a:gd name="T9" fmla="*/ 0 w 157"/>
            <a:gd name="T10" fmla="*/ 0 h 20"/>
            <a:gd name="T11" fmla="*/ 157 w 157"/>
            <a:gd name="T12" fmla="*/ 20 h 2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57" h="20">
              <a:moveTo>
                <a:pt x="0" y="0"/>
              </a:moveTo>
              <a:cubicBezTo>
                <a:pt x="23" y="10"/>
                <a:pt x="46" y="20"/>
                <a:pt x="72" y="20"/>
              </a:cubicBezTo>
              <a:cubicBezTo>
                <a:pt x="98" y="20"/>
                <a:pt x="143" y="6"/>
                <a:pt x="157" y="3"/>
              </a:cubicBezTo>
            </a:path>
          </a:pathLst>
        </a:custGeom>
        <a:solidFill>
          <a:sysClr val="window" lastClr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21</xdr:col>
      <xdr:colOff>53414</xdr:colOff>
      <xdr:row>196</xdr:row>
      <xdr:rowOff>116166</xdr:rowOff>
    </xdr:from>
    <xdr:to>
      <xdr:col>22</xdr:col>
      <xdr:colOff>270061</xdr:colOff>
      <xdr:row>198</xdr:row>
      <xdr:rowOff>32124</xdr:rowOff>
    </xdr:to>
    <xdr:sp macro="" textlink="">
      <xdr:nvSpPr>
        <xdr:cNvPr id="3" name="Freeform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 bwMode="auto">
        <a:xfrm>
          <a:off x="7146364" y="33790216"/>
          <a:ext cx="546847" cy="328708"/>
        </a:xfrm>
        <a:custGeom>
          <a:avLst/>
          <a:gdLst>
            <a:gd name="T0" fmla="*/ 0 w 169"/>
            <a:gd name="T1" fmla="*/ 2147483646 h 10"/>
            <a:gd name="T2" fmla="*/ 2147483646 w 169"/>
            <a:gd name="T3" fmla="*/ 0 h 10"/>
            <a:gd name="T4" fmla="*/ 2147483646 w 169"/>
            <a:gd name="T5" fmla="*/ 2147483646 h 10"/>
            <a:gd name="T6" fmla="*/ 0 60000 65536"/>
            <a:gd name="T7" fmla="*/ 0 60000 65536"/>
            <a:gd name="T8" fmla="*/ 0 60000 65536"/>
            <a:gd name="T9" fmla="*/ 0 w 169"/>
            <a:gd name="T10" fmla="*/ 0 h 10"/>
            <a:gd name="T11" fmla="*/ 169 w 169"/>
            <a:gd name="T12" fmla="*/ 10 h 1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9" h="10">
              <a:moveTo>
                <a:pt x="0" y="10"/>
              </a:moveTo>
              <a:cubicBezTo>
                <a:pt x="32" y="5"/>
                <a:pt x="64" y="0"/>
                <a:pt x="92" y="0"/>
              </a:cubicBezTo>
              <a:cubicBezTo>
                <a:pt x="120" y="0"/>
                <a:pt x="156" y="8"/>
                <a:pt x="169" y="9"/>
              </a:cubicBezTo>
            </a:path>
          </a:pathLst>
        </a:custGeom>
        <a:solidFill>
          <a:sysClr val="window" lastClr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26</xdr:col>
      <xdr:colOff>35859</xdr:colOff>
      <xdr:row>104</xdr:row>
      <xdr:rowOff>107950</xdr:rowOff>
    </xdr:from>
    <xdr:to>
      <xdr:col>26</xdr:col>
      <xdr:colOff>277159</xdr:colOff>
      <xdr:row>105</xdr:row>
      <xdr:rowOff>31750</xdr:rowOff>
    </xdr:to>
    <xdr:sp macro="" textlink="">
      <xdr:nvSpPr>
        <xdr:cNvPr id="7" name="AutoShape 83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8623300" y="17411700"/>
          <a:ext cx="241300" cy="101600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 fLocksWithSheet="0" fPrintsWithSheet="0"/>
  </xdr:twoCellAnchor>
  <xdr:twoCellAnchor>
    <xdr:from>
      <xdr:col>26</xdr:col>
      <xdr:colOff>112805</xdr:colOff>
      <xdr:row>9</xdr:row>
      <xdr:rowOff>205212</xdr:rowOff>
    </xdr:from>
    <xdr:to>
      <xdr:col>30</xdr:col>
      <xdr:colOff>675452</xdr:colOff>
      <xdr:row>13</xdr:row>
      <xdr:rowOff>12847</xdr:rowOff>
    </xdr:to>
    <xdr:sp macro="[0]!'WorksheetToShow &quot;DS_REPORT&quot;'" textlink="" fLocksText="0">
      <xdr:nvSpPr>
        <xdr:cNvPr id="9" name="Rectangle : coins arrondis 8">
          <a:extLst>
            <a:ext uri="{FF2B5EF4-FFF2-40B4-BE49-F238E27FC236}">
              <a16:creationId xmlns:a16="http://schemas.microsoft.com/office/drawing/2014/main" id="{CCD7F6EE-9E91-41FF-A4F8-7CFBCBF28161}"/>
            </a:ext>
          </a:extLst>
        </xdr:cNvPr>
        <xdr:cNvSpPr/>
      </xdr:nvSpPr>
      <xdr:spPr>
        <a:xfrm>
          <a:off x="8838452" y="1460271"/>
          <a:ext cx="2124000" cy="3754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DS_REPORT</a:t>
          </a:r>
        </a:p>
      </xdr:txBody>
    </xdr:sp>
    <xdr:clientData/>
  </xdr:twoCellAnchor>
  <xdr:twoCellAnchor>
    <xdr:from>
      <xdr:col>26</xdr:col>
      <xdr:colOff>108697</xdr:colOff>
      <xdr:row>14</xdr:row>
      <xdr:rowOff>59765</xdr:rowOff>
    </xdr:from>
    <xdr:to>
      <xdr:col>30</xdr:col>
      <xdr:colOff>671344</xdr:colOff>
      <xdr:row>17</xdr:row>
      <xdr:rowOff>84004</xdr:rowOff>
    </xdr:to>
    <xdr:sp macro="[0]!'WorksheetToShow &quot;Details&quot;'" textlink="" fLocksText="0">
      <xdr:nvSpPr>
        <xdr:cNvPr id="10" name="Rectangle : coins arrondis 9">
          <a:extLst>
            <a:ext uri="{FF2B5EF4-FFF2-40B4-BE49-F238E27FC236}">
              <a16:creationId xmlns:a16="http://schemas.microsoft.com/office/drawing/2014/main" id="{C865F0B7-6B3C-48AD-8508-338F86B254F9}"/>
            </a:ext>
          </a:extLst>
        </xdr:cNvPr>
        <xdr:cNvSpPr/>
      </xdr:nvSpPr>
      <xdr:spPr>
        <a:xfrm>
          <a:off x="8834344" y="2091765"/>
          <a:ext cx="2124000" cy="382827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Details</a:t>
          </a:r>
        </a:p>
      </xdr:txBody>
    </xdr:sp>
    <xdr:clientData/>
  </xdr:twoCellAnchor>
  <xdr:twoCellAnchor>
    <xdr:from>
      <xdr:col>30</xdr:col>
      <xdr:colOff>519579</xdr:colOff>
      <xdr:row>7</xdr:row>
      <xdr:rowOff>48560</xdr:rowOff>
    </xdr:from>
    <xdr:to>
      <xdr:col>36</xdr:col>
      <xdr:colOff>66226</xdr:colOff>
      <xdr:row>9</xdr:row>
      <xdr:rowOff>144856</xdr:rowOff>
    </xdr:to>
    <xdr:sp macro="[0]!'WorksheetToShow &quot;Deductibles&quot;'" textlink="" fLocksText="0">
      <xdr:nvSpPr>
        <xdr:cNvPr id="11" name="Rectangle : coins arrondis 10">
          <a:extLst>
            <a:ext uri="{FF2B5EF4-FFF2-40B4-BE49-F238E27FC236}">
              <a16:creationId xmlns:a16="http://schemas.microsoft.com/office/drawing/2014/main" id="{134962BE-6BDB-4B2A-8D83-1C2021F50B93}"/>
            </a:ext>
          </a:extLst>
        </xdr:cNvPr>
        <xdr:cNvSpPr/>
      </xdr:nvSpPr>
      <xdr:spPr>
        <a:xfrm>
          <a:off x="10806579" y="1019736"/>
          <a:ext cx="2124000" cy="38017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Dedactubles</a:t>
          </a:r>
        </a:p>
      </xdr:txBody>
    </xdr:sp>
    <xdr:clientData/>
  </xdr:twoCellAnchor>
  <xdr:twoCellAnchor>
    <xdr:from>
      <xdr:col>30</xdr:col>
      <xdr:colOff>519579</xdr:colOff>
      <xdr:row>11</xdr:row>
      <xdr:rowOff>124386</xdr:rowOff>
    </xdr:from>
    <xdr:to>
      <xdr:col>36</xdr:col>
      <xdr:colOff>66226</xdr:colOff>
      <xdr:row>14</xdr:row>
      <xdr:rowOff>24789</xdr:rowOff>
    </xdr:to>
    <xdr:sp macro="[0]!'WorksheetToShow &quot;DDB&quot;'" textlink="" fLocksText="0">
      <xdr:nvSpPr>
        <xdr:cNvPr id="12" name="Rectangle : coins arrondis 11">
          <a:extLst>
            <a:ext uri="{FF2B5EF4-FFF2-40B4-BE49-F238E27FC236}">
              <a16:creationId xmlns:a16="http://schemas.microsoft.com/office/drawing/2014/main" id="{9021B4A0-D12C-4093-B2EA-BFB5543F9DCD}"/>
            </a:ext>
          </a:extLst>
        </xdr:cNvPr>
        <xdr:cNvSpPr/>
      </xdr:nvSpPr>
      <xdr:spPr>
        <a:xfrm>
          <a:off x="10806579" y="1663327"/>
          <a:ext cx="2124000" cy="39346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perspectiveContrastingRightFacing"/>
          <a:lightRig rig="contrasting" dir="t">
            <a:rot lat="0" lon="0" rev="5400000"/>
          </a:lightRig>
        </a:scene3d>
        <a:sp3d extrusionH="165100" contourW="95250" prstMaterial="translucentPowder">
          <a:bevelT w="6350" prst="riblet"/>
          <a:bevelB w="101600" prst="divot"/>
          <a:extrusionClr>
            <a:schemeClr val="accent5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BDD</a:t>
          </a:r>
        </a:p>
      </xdr:txBody>
    </xdr:sp>
    <xdr:clientData/>
  </xdr:twoCellAnchor>
  <xdr:twoCellAnchor>
    <xdr:from>
      <xdr:col>30</xdr:col>
      <xdr:colOff>224117</xdr:colOff>
      <xdr:row>18</xdr:row>
      <xdr:rowOff>44500</xdr:rowOff>
    </xdr:from>
    <xdr:to>
      <xdr:col>31</xdr:col>
      <xdr:colOff>81429</xdr:colOff>
      <xdr:row>21</xdr:row>
      <xdr:rowOff>102024</xdr:rowOff>
    </xdr:to>
    <xdr:sp macro="[0]!Mod_HideAll.HideAll" textlink="">
      <xdr:nvSpPr>
        <xdr:cNvPr id="25" name="Triangle22">
          <a:extLst>
            <a:ext uri="{FF2B5EF4-FFF2-40B4-BE49-F238E27FC236}">
              <a16:creationId xmlns:a16="http://schemas.microsoft.com/office/drawing/2014/main" id="{13175BD9-7E53-4076-A6BB-327A39C5ABBC}"/>
            </a:ext>
          </a:extLst>
        </xdr:cNvPr>
        <xdr:cNvSpPr/>
      </xdr:nvSpPr>
      <xdr:spPr>
        <a:xfrm rot="10627785">
          <a:off x="10511117" y="2644265"/>
          <a:ext cx="596900" cy="520700"/>
        </a:xfrm>
        <a:prstGeom prst="triangle">
          <a:avLst/>
        </a:prstGeom>
        <a:solidFill>
          <a:schemeClr val="bg1">
            <a:lumMod val="85000"/>
          </a:schemeClr>
        </a:solidFill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239059</xdr:colOff>
      <xdr:row>22</xdr:row>
      <xdr:rowOff>44823</xdr:rowOff>
    </xdr:from>
    <xdr:to>
      <xdr:col>31</xdr:col>
      <xdr:colOff>96371</xdr:colOff>
      <xdr:row>26</xdr:row>
      <xdr:rowOff>51173</xdr:rowOff>
    </xdr:to>
    <xdr:sp macro="[0]!Mod_HideAll.ShowAll" textlink="">
      <xdr:nvSpPr>
        <xdr:cNvPr id="26" name="Triangle23">
          <a:extLst>
            <a:ext uri="{FF2B5EF4-FFF2-40B4-BE49-F238E27FC236}">
              <a16:creationId xmlns:a16="http://schemas.microsoft.com/office/drawing/2014/main" id="{A622BB2B-B5C3-40AD-B673-56B2ECEB3021}"/>
            </a:ext>
          </a:extLst>
        </xdr:cNvPr>
        <xdr:cNvSpPr/>
      </xdr:nvSpPr>
      <xdr:spPr>
        <a:xfrm>
          <a:off x="10526059" y="3316941"/>
          <a:ext cx="596900" cy="514350"/>
        </a:xfrm>
        <a:prstGeom prst="triangle">
          <a:avLst/>
        </a:prstGeom>
        <a:solidFill>
          <a:schemeClr val="bg1">
            <a:lumMod val="85000"/>
          </a:schemeClr>
        </a:solidFill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673100</xdr:colOff>
      <xdr:row>12</xdr:row>
      <xdr:rowOff>12700</xdr:rowOff>
    </xdr:from>
    <xdr:to>
      <xdr:col>43</xdr:col>
      <xdr:colOff>559547</xdr:colOff>
      <xdr:row>14</xdr:row>
      <xdr:rowOff>107576</xdr:rowOff>
    </xdr:to>
    <xdr:sp macro="[0]!'WorksheetToShow &quot;Data&quot;'" textlink="" fLocksText="0">
      <xdr:nvSpPr>
        <xdr:cNvPr id="3" name="Rectangle : coins arrondis 2">
          <a:extLst>
            <a:ext uri="{FF2B5EF4-FFF2-40B4-BE49-F238E27FC236}">
              <a16:creationId xmlns:a16="http://schemas.microsoft.com/office/drawing/2014/main" id="{936CD803-B0AF-4B3C-BE06-AE7F7F87F1C7}"/>
            </a:ext>
          </a:extLst>
        </xdr:cNvPr>
        <xdr:cNvSpPr/>
      </xdr:nvSpPr>
      <xdr:spPr>
        <a:xfrm>
          <a:off x="31915100" y="2222500"/>
          <a:ext cx="1410447" cy="463176"/>
        </a:xfrm>
        <a:prstGeom prst="roundRect">
          <a:avLst>
            <a:gd name="adj" fmla="val 8441"/>
          </a:avLst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255988</xdr:colOff>
      <xdr:row>8</xdr:row>
      <xdr:rowOff>146050</xdr:rowOff>
    </xdr:from>
    <xdr:to>
      <xdr:col>17</xdr:col>
      <xdr:colOff>153939</xdr:colOff>
      <xdr:row>10</xdr:row>
      <xdr:rowOff>0</xdr:rowOff>
    </xdr:to>
    <xdr:sp macro="" textlink="">
      <xdr:nvSpPr>
        <xdr:cNvPr id="4" name="AutoShape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686342" y="1531505"/>
          <a:ext cx="4298052" cy="283697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0</xdr:colOff>
      <xdr:row>9</xdr:row>
      <xdr:rowOff>0</xdr:rowOff>
    </xdr:from>
    <xdr:to>
      <xdr:col>28</xdr:col>
      <xdr:colOff>607932</xdr:colOff>
      <xdr:row>10</xdr:row>
      <xdr:rowOff>194156</xdr:rowOff>
    </xdr:to>
    <xdr:sp macro="[0]!'WorksheetToShow &quot;Data&quot;'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5F77FFF6-2BD0-4487-A35F-BB8534E444D9}"/>
            </a:ext>
          </a:extLst>
        </xdr:cNvPr>
        <xdr:cNvSpPr/>
      </xdr:nvSpPr>
      <xdr:spPr>
        <a:xfrm>
          <a:off x="9800808" y="1545808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/>
  </xdr:twoCellAnchor>
  <xdr:twoCellAnchor editAs="oneCell">
    <xdr:from>
      <xdr:col>27</xdr:col>
      <xdr:colOff>160354</xdr:colOff>
      <xdr:row>2</xdr:row>
      <xdr:rowOff>115453</xdr:rowOff>
    </xdr:from>
    <xdr:to>
      <xdr:col>28</xdr:col>
      <xdr:colOff>339949</xdr:colOff>
      <xdr:row>8</xdr:row>
      <xdr:rowOff>6412</xdr:rowOff>
    </xdr:to>
    <xdr:pic macro="[0]!Image13_Cliquer">
      <xdr:nvPicPr>
        <xdr:cNvPr id="14" name="Image 13">
          <a:extLst>
            <a:ext uri="{FF2B5EF4-FFF2-40B4-BE49-F238E27FC236}">
              <a16:creationId xmlns:a16="http://schemas.microsoft.com/office/drawing/2014/main" id="{87FD4BB3-08B6-4ABE-8D37-1E06D090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1162" y="410504"/>
          <a:ext cx="981363" cy="981363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8</xdr:row>
      <xdr:rowOff>152400</xdr:rowOff>
    </xdr:from>
    <xdr:to>
      <xdr:col>12</xdr:col>
      <xdr:colOff>387350</xdr:colOff>
      <xdr:row>10</xdr:row>
      <xdr:rowOff>12700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612900" y="1600200"/>
          <a:ext cx="3797300" cy="2794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25</xdr:col>
      <xdr:colOff>209550</xdr:colOff>
      <xdr:row>12</xdr:row>
      <xdr:rowOff>76200</xdr:rowOff>
    </xdr:to>
    <xdr:sp macro="[0]!'WorksheetToShow &quot;Data&quot;'" textlink="" fLocksText="0">
      <xdr:nvSpPr>
        <xdr:cNvPr id="6" name="Rectangle : coins arrondis 5">
          <a:extLst>
            <a:ext uri="{FF2B5EF4-FFF2-40B4-BE49-F238E27FC236}">
              <a16:creationId xmlns:a16="http://schemas.microsoft.com/office/drawing/2014/main" id="{3852EF7A-2610-4A77-8B36-30225A6E3855}"/>
            </a:ext>
          </a:extLst>
        </xdr:cNvPr>
        <xdr:cNvSpPr/>
      </xdr:nvSpPr>
      <xdr:spPr>
        <a:xfrm>
          <a:off x="9175750" y="1866900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  <xdr:twoCellAnchor editAs="absolute">
    <xdr:from>
      <xdr:col>22</xdr:col>
      <xdr:colOff>171450</xdr:colOff>
      <xdr:row>3</xdr:row>
      <xdr:rowOff>25400</xdr:rowOff>
    </xdr:from>
    <xdr:to>
      <xdr:col>24</xdr:col>
      <xdr:colOff>355600</xdr:colOff>
      <xdr:row>8</xdr:row>
      <xdr:rowOff>114300</xdr:rowOff>
    </xdr:to>
    <xdr:pic macro="[0]!Image10_Cliquer">
      <xdr:nvPicPr>
        <xdr:cNvPr id="11" name="Image 10">
          <a:extLst>
            <a:ext uri="{FF2B5EF4-FFF2-40B4-BE49-F238E27FC236}">
              <a16:creationId xmlns:a16="http://schemas.microsoft.com/office/drawing/2014/main" id="{98DBE3AA-3EC8-434F-8B7B-168BB2ECF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7200" y="596900"/>
          <a:ext cx="984250" cy="984250"/>
        </a:xfrm>
        <a:prstGeom prst="rect">
          <a:avLst/>
        </a:prstGeom>
      </xdr:spPr>
    </xdr:pic>
    <xdr:clientData fLocksWithSheet="0"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3" name="AutoShape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7" name="AutoShape 1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79375</xdr:colOff>
      <xdr:row>10</xdr:row>
      <xdr:rowOff>0</xdr:rowOff>
    </xdr:from>
    <xdr:to>
      <xdr:col>33</xdr:col>
      <xdr:colOff>244475</xdr:colOff>
      <xdr:row>12</xdr:row>
      <xdr:rowOff>146050</xdr:rowOff>
    </xdr:to>
    <xdr:sp macro="[0]!'WorksheetToShow &quot;Data&quot;'" textlink="" fLocksText="0">
      <xdr:nvSpPr>
        <xdr:cNvPr id="8" name="Rectangle : coins arrondis 7">
          <a:extLst>
            <a:ext uri="{FF2B5EF4-FFF2-40B4-BE49-F238E27FC236}">
              <a16:creationId xmlns:a16="http://schemas.microsoft.com/office/drawing/2014/main" id="{8E49EA94-7FDF-4211-8009-0D7592078EFF}"/>
            </a:ext>
          </a:extLst>
        </xdr:cNvPr>
        <xdr:cNvSpPr/>
      </xdr:nvSpPr>
      <xdr:spPr>
        <a:xfrm>
          <a:off x="9578975" y="1809750"/>
          <a:ext cx="1409700" cy="4635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Data</a:t>
          </a:r>
        </a:p>
      </xdr:txBody>
    </xdr:sp>
    <xdr:clientData fLocksWithSheet="0" fPrintsWithSheet="0"/>
  </xdr:twoCellAnchor>
  <xdr:twoCellAnchor editAs="oneCell">
    <xdr:from>
      <xdr:col>29</xdr:col>
      <xdr:colOff>260350</xdr:colOff>
      <xdr:row>3</xdr:row>
      <xdr:rowOff>44450</xdr:rowOff>
    </xdr:from>
    <xdr:to>
      <xdr:col>32</xdr:col>
      <xdr:colOff>228600</xdr:colOff>
      <xdr:row>8</xdr:row>
      <xdr:rowOff>88900</xdr:rowOff>
    </xdr:to>
    <xdr:pic macro="[0]!Image12_Cliquer">
      <xdr:nvPicPr>
        <xdr:cNvPr id="13" name="Image 12">
          <a:extLst>
            <a:ext uri="{FF2B5EF4-FFF2-40B4-BE49-F238E27FC236}">
              <a16:creationId xmlns:a16="http://schemas.microsoft.com/office/drawing/2014/main" id="{50292C08-F0D7-4D2D-8658-D5AB7A1CB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9950" y="596900"/>
          <a:ext cx="901700" cy="901700"/>
        </a:xfrm>
        <a:prstGeom prst="rect">
          <a:avLst/>
        </a:prstGeom>
      </xdr:spPr>
    </xdr:pic>
    <xdr:clientData fLocksWithSheet="0"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DD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vb/DS%20SANS%20MOT%20DE%20PA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D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Draft Survey Report"/>
      <sheetName val="Details (P2)"/>
      <sheetName val="Deductibles (P3)"/>
      <sheetName val="DS SANS MOT DE PASSE"/>
    </sheetNames>
    <sheetDataSet>
      <sheetData sheetId="0">
        <row r="6">
          <cell r="B6" t="str">
            <v xml:space="preserve">Vessel </v>
          </cell>
        </row>
        <row r="8">
          <cell r="B8" t="str">
            <v>Cargo</v>
          </cell>
        </row>
        <row r="12">
          <cell r="B12" t="str">
            <v>Port of Loading</v>
          </cell>
        </row>
        <row r="14">
          <cell r="B14" t="str">
            <v>Port of Discharge</v>
          </cell>
        </row>
        <row r="126">
          <cell r="K126">
            <v>1</v>
          </cell>
        </row>
        <row r="141">
          <cell r="D141"/>
        </row>
        <row r="190">
          <cell r="B190"/>
        </row>
        <row r="191">
          <cell r="B191"/>
        </row>
        <row r="192">
          <cell r="B192"/>
        </row>
      </sheetData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AC0C2-AC18-4F02-B7C0-793347A6EC03}" name="_TblNavires" displayName="_TblNavires" comment="Ma vrai BDD" ref="A1:AM183" totalsRowShown="0" headerRowDxfId="32">
  <tableColumns count="39">
    <tableColumn id="1" xr3:uid="{8AF6BB29-BB20-42E7-BFC7-73310B855FD7}" name="ID" dataDxfId="31">
      <calculatedColumnFormula>ROW(A2)-1</calculatedColumnFormula>
    </tableColumn>
    <tableColumn id="39" xr3:uid="{F93B5FEC-DC23-4734-8822-0E01840B7588}" name="Vessels" dataDxfId="30"/>
    <tableColumn id="3" xr3:uid="{2ABC0210-5428-4133-9589-7DF0FE251E35}" name="Nationality"/>
    <tableColumn id="4" xr3:uid="{3BA88284-032A-4637-ADB9-F4DD3816336E}" name="Port of Registtry"/>
    <tableColumn id="5" xr3:uid="{FA6A35C3-8423-4425-9065-068BD8558DDB}" name="LBP" dataDxfId="29"/>
    <tableColumn id="6" xr3:uid="{8BA33519-11FC-40DA-8CB3-8377BA37D0F1}" name="LOA" dataDxfId="28"/>
    <tableColumn id="7" xr3:uid="{9B4CADB5-133D-4F16-AA31-B5DD5A6737A9}" name="GRT" dataDxfId="27"/>
    <tableColumn id="8" xr3:uid="{5F2752B9-FD7E-44B8-9603-15D1D25C6DB6}" name="NRT" dataDxfId="26"/>
    <tableColumn id="9" xr3:uid="{0B3AEC07-DB87-495D-9ED8-53055282AB2D}" name="DeadWeight" dataDxfId="25"/>
    <tableColumn id="10" xr3:uid="{431ACD7A-5211-4A11-BDEB-410DC1877D05}" name="Sum. Dft" dataDxfId="24"/>
    <tableColumn id="11" xr3:uid="{602A11C5-F8ED-4A22-B11D-44D7E78A8259}" name="Light Ship" dataDxfId="23"/>
    <tableColumn id="12" xr3:uid="{FDA93584-5B5A-423B-9FAE-DACF7D7C8B4D}" name="Const. Decl" dataDxfId="22"/>
    <tableColumn id="13" xr3:uid="{1DD11182-BA23-4367-89CE-6466092D061C}" name="Bredth" dataDxfId="21"/>
    <tableColumn id="14" xr3:uid="{E06C88FB-511D-4A66-99A1-15B31718AECB}" name="Loading Port"/>
    <tableColumn id="15" xr3:uid="{428F2ABB-9EC1-4964-AEE1-A0EA40A5A6B5}" name="Discharging Port"/>
    <tableColumn id="16" xr3:uid="{77D71ABF-BA05-407E-ADB2-657FE22A1781}" name="Product"/>
    <tableColumn id="17" xr3:uid="{DA41EE75-0469-4124-8998-691761F2C311}" name="BL Weight" dataDxfId="20"/>
    <tableColumn id="18" xr3:uid="{7DC4C6DB-AD7A-4A82-B65B-A5BA6969CE14}" name="Sum. Freeboard" dataDxfId="19"/>
    <tableColumn id="19" xr3:uid="{F751AAB5-AA11-45C5-B146-DE80B4AD0CD0}" name=" Arrival" dataDxfId="18"/>
    <tableColumn id="20" xr3:uid="{8A1064A5-2544-4B7C-B1F7-D51D951EE1A8}" name=" Departure" dataDxfId="17"/>
    <tableColumn id="21" xr3:uid="{70105B00-84C5-4C40-AE2E-8717B86F490F}" name="Dis Fore" dataDxfId="16"/>
    <tableColumn id="22" xr3:uid="{A948BD91-95FE-4067-A460-C7C30F48F3EF}" name="A/F" dataDxfId="15"/>
    <tableColumn id="23" xr3:uid="{7699ED09-0457-4CC6-98C0-E6F115AFFD81}" name="Dis Aft" dataDxfId="14"/>
    <tableColumn id="24" xr3:uid="{5C6CA400-CF78-470B-90B1-6EEC50768EBA}" name="A/F2"/>
    <tableColumn id="25" xr3:uid="{33D87A5A-9984-44CD-B492-9A83885CC39B}" name=" Dis Mid" dataDxfId="13"/>
    <tableColumn id="26" xr3:uid="{2F7F161D-D757-4C34-BF2E-1A599B22A353}" name="A/F3"/>
    <tableColumn id="27" xr3:uid="{CB4C746D-0544-40C4-89D2-13ECFCA1352B}" name="Ini For Dft P" dataDxfId="12"/>
    <tableColumn id="28" xr3:uid="{0BE57B6D-CCDF-47D1-895D-06648D59764C}" name="Ini For Dft S" dataDxfId="11"/>
    <tableColumn id="29" xr3:uid="{3448B640-5FEA-4845-B945-5F48224A0230}" name="Ini Aft Dft P" dataDxfId="10"/>
    <tableColumn id="30" xr3:uid="{417C6131-75AC-41D0-8CBC-66A854E98A29}" name="Ini Aft Dft S" dataDxfId="9"/>
    <tableColumn id="31" xr3:uid="{8C7ABA33-1F05-4C54-98D4-BDEDFADD776B}" name="Ini Mid Dft P" dataDxfId="8"/>
    <tableColumn id="32" xr3:uid="{C4CD679E-A742-45AA-B30B-FC5E8702FDE0}" name="Ini Mid Dft S" dataDxfId="7"/>
    <tableColumn id="33" xr3:uid="{9ED00702-2354-4343-9762-46EB9F389C22}" name="Fin For Dft P" dataDxfId="6"/>
    <tableColumn id="34" xr3:uid="{117D3298-0F80-4884-A00A-4B4F5E460937}" name="Fin For Dft S" dataDxfId="5"/>
    <tableColumn id="35" xr3:uid="{A98E7799-9C4B-4B32-9AE6-66B0BED3BC7D}" name="Fin Aft Dft P" dataDxfId="4"/>
    <tableColumn id="36" xr3:uid="{7E48FF9D-3689-4228-8D70-6DE25A1870D6}" name="Fin Aft Dft S" dataDxfId="3"/>
    <tableColumn id="37" xr3:uid="{AE11C46E-2A5C-48E6-BAD3-48D28B84F60E}" name="Fin Mid Dft P" dataDxfId="2"/>
    <tableColumn id="38" xr3:uid="{A7864838-0B83-4273-AD1E-7723763F57F7}" name="Fin Mid Dft S" dataDxfId="1"/>
    <tableColumn id="2" xr3:uid="{1787DCD3-C0D6-48C9-B86D-14593E036C0C}" name="Colonne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74D8-35AC-4871-A17C-3391ACD2FE49}">
  <sheetPr codeName="Feuil8"/>
  <dimension ref="A1:AT215"/>
  <sheetViews>
    <sheetView showRowColHeaders="0" tabSelected="1" showRuler="0" zoomScale="85" zoomScaleNormal="85" workbookViewId="0">
      <selection activeCell="AE34" sqref="AE34"/>
    </sheetView>
  </sheetViews>
  <sheetFormatPr baseColWidth="10" defaultColWidth="11.453125" defaultRowHeight="16.5"/>
  <cols>
    <col min="1" max="1" width="1.81640625" style="158" customWidth="1"/>
    <col min="2" max="4" width="4.7265625" style="158" customWidth="1"/>
    <col min="5" max="5" width="5.26953125" style="158" customWidth="1"/>
    <col min="6" max="7" width="4.7265625" style="158" customWidth="1"/>
    <col min="8" max="8" width="7.36328125" style="158" customWidth="1"/>
    <col min="9" max="9" width="4.7265625" style="158" customWidth="1"/>
    <col min="10" max="10" width="5.26953125" style="158" customWidth="1"/>
    <col min="11" max="17" width="4.7265625" style="158" customWidth="1"/>
    <col min="18" max="18" width="6.1796875" style="158" customWidth="1"/>
    <col min="19" max="25" width="4.7265625" style="158" customWidth="1"/>
    <col min="26" max="26" width="4.90625" style="158" customWidth="1"/>
    <col min="27" max="27" width="6.54296875" style="158" customWidth="1"/>
    <col min="28" max="29" width="5.54296875" style="158" customWidth="1"/>
    <col min="30" max="30" width="4.7265625" style="158" customWidth="1"/>
    <col min="31" max="31" width="10.6328125" style="158" customWidth="1"/>
    <col min="32" max="34" width="4.7265625" style="158" customWidth="1"/>
    <col min="35" max="35" width="7.453125" style="158" customWidth="1"/>
    <col min="36" max="39" width="4.7265625" style="158" customWidth="1"/>
    <col min="40" max="43" width="11.453125" style="158" customWidth="1"/>
    <col min="44" max="16384" width="11.453125" style="158"/>
  </cols>
  <sheetData>
    <row r="1" spans="1:46">
      <c r="A1" s="1022"/>
      <c r="B1" s="1022"/>
      <c r="C1" s="1022"/>
      <c r="D1" s="1022"/>
      <c r="E1" s="1022"/>
      <c r="S1" s="181"/>
      <c r="T1" s="181"/>
      <c r="U1" s="181"/>
      <c r="V1" s="181"/>
      <c r="W1" s="181"/>
      <c r="X1" s="181"/>
      <c r="Y1" s="181"/>
      <c r="AC1" s="182"/>
      <c r="AD1" s="183"/>
      <c r="AE1" s="840"/>
      <c r="AF1" s="840"/>
      <c r="AT1" s="184" t="s">
        <v>251</v>
      </c>
    </row>
    <row r="2" spans="1:46" ht="14.25" customHeight="1">
      <c r="A2" s="1022"/>
      <c r="B2" s="1022" t="s">
        <v>213</v>
      </c>
      <c r="C2" s="1022"/>
      <c r="D2" s="1022"/>
      <c r="E2" s="1022"/>
      <c r="F2" s="504" t="s">
        <v>223</v>
      </c>
      <c r="G2" s="505"/>
      <c r="H2" s="506"/>
      <c r="I2" s="505"/>
      <c r="J2" s="505"/>
      <c r="K2" s="505"/>
      <c r="L2" s="185"/>
      <c r="M2" s="158" t="s">
        <v>30</v>
      </c>
      <c r="S2" s="498">
        <v>44764</v>
      </c>
      <c r="T2" s="499"/>
      <c r="U2" s="500"/>
      <c r="V2" s="186" t="s">
        <v>31</v>
      </c>
      <c r="W2" s="496">
        <v>0.5</v>
      </c>
      <c r="X2" s="497"/>
      <c r="Y2" s="181"/>
      <c r="AC2" s="187"/>
      <c r="AD2" s="183"/>
      <c r="AT2" s="184" t="s">
        <v>225</v>
      </c>
    </row>
    <row r="3" spans="1:46" ht="6" customHeight="1">
      <c r="A3" s="1022"/>
      <c r="B3" s="1022"/>
      <c r="C3" s="1022"/>
      <c r="D3" s="1022"/>
      <c r="E3" s="1022"/>
      <c r="F3" s="188"/>
      <c r="G3" s="188"/>
      <c r="H3" s="189"/>
      <c r="I3" s="188"/>
      <c r="J3" s="188"/>
      <c r="K3" s="188"/>
      <c r="S3" s="190"/>
      <c r="T3" s="190"/>
      <c r="U3" s="190"/>
      <c r="V3" s="186"/>
      <c r="W3" s="191"/>
      <c r="X3" s="191"/>
      <c r="Y3" s="181"/>
      <c r="AC3" s="192"/>
      <c r="AD3" s="183"/>
      <c r="AG3" s="158" t="s">
        <v>220</v>
      </c>
      <c r="AH3" s="158" t="s">
        <v>217</v>
      </c>
      <c r="AI3" s="158" t="s">
        <v>219</v>
      </c>
      <c r="AJ3" s="158" t="s">
        <v>218</v>
      </c>
      <c r="AK3" s="158" t="s">
        <v>221</v>
      </c>
      <c r="AL3" s="158" t="s">
        <v>222</v>
      </c>
      <c r="AT3" s="184" t="s">
        <v>252</v>
      </c>
    </row>
    <row r="4" spans="1:46" ht="14.25" customHeight="1">
      <c r="A4" s="1022"/>
      <c r="B4" s="1022" t="s">
        <v>32</v>
      </c>
      <c r="C4" s="1022"/>
      <c r="D4" s="1022"/>
      <c r="E4" s="1022"/>
      <c r="F4" s="490" t="s">
        <v>362</v>
      </c>
      <c r="G4" s="491"/>
      <c r="H4" s="491"/>
      <c r="I4" s="491"/>
      <c r="J4" s="491"/>
      <c r="K4" s="492"/>
      <c r="L4" s="185"/>
      <c r="M4" s="158" t="s">
        <v>33</v>
      </c>
      <c r="S4" s="498">
        <v>45163</v>
      </c>
      <c r="T4" s="499"/>
      <c r="U4" s="500"/>
      <c r="V4" s="186" t="s">
        <v>31</v>
      </c>
      <c r="W4" s="496">
        <v>0.5</v>
      </c>
      <c r="X4" s="497"/>
      <c r="Y4" s="181"/>
      <c r="AC4" s="193"/>
      <c r="AD4" s="183"/>
      <c r="AT4" s="184" t="s">
        <v>253</v>
      </c>
    </row>
    <row r="5" spans="1:46" ht="6" customHeight="1">
      <c r="A5" s="1022"/>
      <c r="B5" s="1022"/>
      <c r="C5" s="1022"/>
      <c r="D5" s="1022"/>
      <c r="E5" s="1022"/>
      <c r="F5" s="188"/>
      <c r="G5" s="188"/>
      <c r="H5" s="188"/>
      <c r="I5" s="188"/>
      <c r="J5" s="188"/>
      <c r="K5" s="188"/>
      <c r="S5" s="190"/>
      <c r="T5" s="190"/>
      <c r="U5" s="190"/>
      <c r="V5" s="186"/>
      <c r="W5" s="191"/>
      <c r="X5" s="191"/>
      <c r="Y5" s="181"/>
      <c r="AC5" s="192"/>
      <c r="AD5" s="183"/>
      <c r="AT5" s="184" t="s">
        <v>254</v>
      </c>
    </row>
    <row r="6" spans="1:46" ht="14.25" customHeight="1">
      <c r="A6" s="1022"/>
      <c r="B6" s="1022" t="s">
        <v>34</v>
      </c>
      <c r="C6" s="1022"/>
      <c r="D6" s="1022"/>
      <c r="E6" s="1022"/>
      <c r="F6" s="490" t="s">
        <v>361</v>
      </c>
      <c r="G6" s="491"/>
      <c r="H6" s="491"/>
      <c r="I6" s="491"/>
      <c r="J6" s="491"/>
      <c r="K6" s="492"/>
      <c r="M6" s="158" t="s">
        <v>35</v>
      </c>
      <c r="S6" s="498">
        <v>45163</v>
      </c>
      <c r="T6" s="499"/>
      <c r="U6" s="500"/>
      <c r="V6" s="186" t="s">
        <v>31</v>
      </c>
      <c r="W6" s="496">
        <v>9</v>
      </c>
      <c r="X6" s="497"/>
      <c r="Y6" s="181"/>
      <c r="AC6" s="194"/>
      <c r="AT6" s="184" t="s">
        <v>255</v>
      </c>
    </row>
    <row r="7" spans="1:46" ht="6" customHeight="1">
      <c r="A7" s="1022"/>
      <c r="B7" s="1022"/>
      <c r="C7" s="1022"/>
      <c r="D7" s="1022"/>
      <c r="E7" s="1022"/>
      <c r="F7" s="195"/>
      <c r="G7" s="195"/>
      <c r="H7" s="195"/>
      <c r="I7" s="195"/>
      <c r="J7" s="195"/>
      <c r="K7" s="195"/>
      <c r="S7" s="196"/>
      <c r="T7" s="196"/>
      <c r="U7" s="196"/>
      <c r="V7" s="181"/>
      <c r="W7" s="423">
        <v>0.375</v>
      </c>
      <c r="X7" s="196"/>
      <c r="Y7" s="181"/>
    </row>
    <row r="8" spans="1:46">
      <c r="A8" s="1022"/>
      <c r="B8" s="1022" t="s">
        <v>36</v>
      </c>
      <c r="C8" s="1022"/>
      <c r="D8" s="1022"/>
      <c r="E8" s="1023"/>
      <c r="F8" s="490" t="s">
        <v>364</v>
      </c>
      <c r="G8" s="491"/>
      <c r="H8" s="491"/>
      <c r="I8" s="491"/>
      <c r="J8" s="491"/>
      <c r="K8" s="492"/>
      <c r="L8" s="185"/>
      <c r="M8" s="158" t="s">
        <v>37</v>
      </c>
      <c r="S8" s="498">
        <v>45163</v>
      </c>
      <c r="T8" s="499"/>
      <c r="U8" s="500"/>
      <c r="V8" s="186" t="s">
        <v>31</v>
      </c>
      <c r="W8" s="496">
        <v>0.375</v>
      </c>
      <c r="X8" s="497"/>
      <c r="Y8" s="181"/>
    </row>
    <row r="9" spans="1:46" ht="6" customHeight="1">
      <c r="A9" s="1022"/>
      <c r="B9" s="1022"/>
      <c r="C9" s="1022"/>
      <c r="D9" s="1022"/>
      <c r="E9" s="1022"/>
      <c r="F9" s="195"/>
      <c r="G9" s="195"/>
      <c r="H9" s="195"/>
      <c r="I9" s="195"/>
      <c r="J9" s="195"/>
      <c r="K9" s="195"/>
      <c r="S9" s="196"/>
      <c r="T9" s="196"/>
      <c r="U9" s="196"/>
      <c r="V9" s="181"/>
      <c r="W9" s="196"/>
      <c r="X9" s="196"/>
      <c r="Y9" s="181"/>
    </row>
    <row r="10" spans="1:46">
      <c r="A10" s="1024"/>
      <c r="B10" s="1024" t="s">
        <v>38</v>
      </c>
      <c r="C10" s="1024"/>
      <c r="D10" s="1022"/>
      <c r="E10" s="1023"/>
      <c r="F10" s="490" t="s">
        <v>254</v>
      </c>
      <c r="G10" s="491"/>
      <c r="H10" s="491"/>
      <c r="I10" s="491"/>
      <c r="J10" s="491"/>
      <c r="K10" s="492"/>
      <c r="M10" s="158" t="s">
        <v>211</v>
      </c>
      <c r="S10" s="498">
        <v>45194</v>
      </c>
      <c r="T10" s="499"/>
      <c r="U10" s="500"/>
      <c r="V10" s="186" t="s">
        <v>31</v>
      </c>
      <c r="W10" s="496">
        <v>0.54791666666666672</v>
      </c>
      <c r="X10" s="497"/>
      <c r="Y10" s="181"/>
    </row>
    <row r="11" spans="1:46" ht="6" customHeight="1">
      <c r="A11" s="1024"/>
      <c r="B11" s="1024"/>
      <c r="C11" s="1024"/>
      <c r="D11" s="1022"/>
      <c r="E11" s="1022"/>
      <c r="F11" s="195"/>
      <c r="G11" s="195"/>
      <c r="H11" s="195"/>
      <c r="I11" s="195"/>
      <c r="J11" s="195"/>
      <c r="K11" s="188"/>
      <c r="S11" s="190"/>
      <c r="T11" s="190"/>
      <c r="U11" s="190"/>
      <c r="V11" s="186"/>
      <c r="W11" s="191"/>
      <c r="X11" s="191"/>
      <c r="Y11" s="181"/>
    </row>
    <row r="12" spans="1:46">
      <c r="A12" s="1024"/>
      <c r="B12" s="1022" t="s">
        <v>39</v>
      </c>
      <c r="C12" s="1022"/>
      <c r="D12" s="1022"/>
      <c r="E12" s="1023"/>
      <c r="F12" s="490" t="s">
        <v>363</v>
      </c>
      <c r="G12" s="491"/>
      <c r="H12" s="491"/>
      <c r="I12" s="491"/>
      <c r="J12" s="491"/>
      <c r="K12" s="492"/>
      <c r="M12" s="158" t="s">
        <v>212</v>
      </c>
      <c r="S12" s="498">
        <v>44767</v>
      </c>
      <c r="T12" s="499"/>
      <c r="U12" s="500"/>
      <c r="V12" s="186" t="s">
        <v>31</v>
      </c>
      <c r="W12" s="496">
        <v>0.45902777777777781</v>
      </c>
      <c r="X12" s="497"/>
      <c r="Y12" s="181"/>
    </row>
    <row r="13" spans="1:46" ht="6" customHeight="1">
      <c r="A13" s="1024"/>
      <c r="B13" s="1022"/>
      <c r="C13" s="1022"/>
      <c r="D13" s="1022"/>
      <c r="E13" s="1022"/>
      <c r="F13" s="198"/>
      <c r="G13" s="199"/>
      <c r="H13" s="199"/>
      <c r="I13" s="199"/>
      <c r="J13" s="199"/>
      <c r="K13" s="199"/>
      <c r="S13" s="196"/>
      <c r="T13" s="196"/>
      <c r="U13" s="196"/>
      <c r="V13" s="181"/>
      <c r="W13" s="196"/>
      <c r="X13" s="196"/>
      <c r="Y13" s="181"/>
    </row>
    <row r="14" spans="1:46">
      <c r="A14" s="1024"/>
      <c r="B14" s="1022" t="s">
        <v>40</v>
      </c>
      <c r="C14" s="1022"/>
      <c r="D14" s="1022"/>
      <c r="E14" s="1023"/>
      <c r="F14" s="490" t="s">
        <v>225</v>
      </c>
      <c r="G14" s="491"/>
      <c r="H14" s="491"/>
      <c r="I14" s="491"/>
      <c r="J14" s="491"/>
      <c r="K14" s="492"/>
      <c r="M14" s="158" t="s">
        <v>41</v>
      </c>
      <c r="S14" s="498">
        <v>40079</v>
      </c>
      <c r="T14" s="499"/>
      <c r="U14" s="500"/>
      <c r="V14" s="186" t="s">
        <v>31</v>
      </c>
      <c r="W14" s="496">
        <v>0.50624999999999998</v>
      </c>
      <c r="X14" s="497"/>
      <c r="Y14" s="181"/>
      <c r="AJ14" s="167"/>
    </row>
    <row r="15" spans="1:46" ht="6" customHeight="1">
      <c r="A15" s="1024"/>
      <c r="B15" s="1022"/>
      <c r="C15" s="1022"/>
      <c r="D15" s="1022"/>
      <c r="E15" s="1022"/>
      <c r="F15" s="200"/>
      <c r="G15" s="200"/>
      <c r="H15" s="200"/>
      <c r="I15" s="200"/>
      <c r="J15" s="200"/>
      <c r="K15" s="200"/>
      <c r="S15" s="196"/>
      <c r="T15" s="196"/>
      <c r="U15" s="196"/>
      <c r="V15" s="181"/>
      <c r="W15" s="196"/>
      <c r="X15" s="196"/>
      <c r="Y15" s="181"/>
    </row>
    <row r="16" spans="1:46">
      <c r="A16" s="1024"/>
      <c r="B16" s="1022" t="s">
        <v>42</v>
      </c>
      <c r="C16" s="1022"/>
      <c r="D16" s="1022"/>
      <c r="E16" s="1022"/>
      <c r="F16" s="501">
        <v>3098.2950000000001</v>
      </c>
      <c r="G16" s="502"/>
      <c r="H16" s="503"/>
      <c r="I16" s="201"/>
      <c r="J16" s="201"/>
      <c r="K16" s="201"/>
      <c r="M16" s="158" t="s">
        <v>44</v>
      </c>
      <c r="S16" s="498"/>
      <c r="T16" s="499"/>
      <c r="U16" s="500"/>
      <c r="V16" s="186" t="s">
        <v>31</v>
      </c>
      <c r="W16" s="496" t="s">
        <v>216</v>
      </c>
      <c r="X16" s="497"/>
      <c r="Y16" s="181"/>
      <c r="AJ16" s="167"/>
    </row>
    <row r="17" spans="1:36" ht="6" customHeight="1">
      <c r="A17" s="1024"/>
      <c r="B17" s="1022"/>
      <c r="C17" s="1022"/>
      <c r="D17" s="1022"/>
      <c r="E17" s="1022"/>
      <c r="F17" s="198"/>
      <c r="G17" s="199"/>
      <c r="H17" s="199"/>
      <c r="I17" s="200"/>
      <c r="J17" s="200"/>
      <c r="K17" s="200"/>
      <c r="S17" s="181"/>
      <c r="T17" s="181"/>
      <c r="U17" s="181"/>
      <c r="V17" s="181"/>
      <c r="W17" s="181"/>
      <c r="X17" s="181"/>
      <c r="Y17" s="181"/>
    </row>
    <row r="18" spans="1:36">
      <c r="A18" s="1022"/>
      <c r="B18" s="1025" t="s">
        <v>45</v>
      </c>
      <c r="C18" s="1022"/>
      <c r="D18" s="1022"/>
      <c r="E18" s="1022"/>
      <c r="F18" s="493">
        <v>44709</v>
      </c>
      <c r="G18" s="494"/>
      <c r="H18" s="495"/>
      <c r="I18" s="201"/>
      <c r="J18" s="201"/>
      <c r="K18" s="201"/>
      <c r="S18" s="203"/>
      <c r="T18" s="203"/>
      <c r="U18" s="203"/>
      <c r="V18" s="186"/>
      <c r="W18" s="204"/>
      <c r="X18" s="204"/>
      <c r="Y18" s="181"/>
      <c r="AJ18" s="167"/>
    </row>
    <row r="19" spans="1:36">
      <c r="A19" s="1022"/>
      <c r="B19" s="1022"/>
      <c r="C19" s="1022"/>
      <c r="D19" s="1022"/>
      <c r="E19" s="1022"/>
      <c r="F19" s="196"/>
      <c r="G19" s="196"/>
      <c r="H19" s="196"/>
      <c r="I19" s="181"/>
      <c r="J19" s="181"/>
      <c r="K19" s="181"/>
      <c r="S19" s="181"/>
      <c r="T19" s="181"/>
      <c r="U19" s="181"/>
      <c r="V19" s="181"/>
      <c r="W19" s="181"/>
      <c r="X19" s="181"/>
      <c r="Y19" s="181"/>
    </row>
    <row r="20" spans="1:36" ht="14.25" customHeight="1">
      <c r="A20" s="1022"/>
      <c r="B20" s="1024" t="s">
        <v>229</v>
      </c>
      <c r="C20" s="1022"/>
      <c r="D20" s="1022"/>
      <c r="E20" s="1022"/>
      <c r="F20" s="181"/>
      <c r="G20" s="467">
        <v>2805</v>
      </c>
      <c r="H20" s="468"/>
      <c r="I20" s="469"/>
      <c r="J20" s="181"/>
      <c r="K20" s="181"/>
      <c r="M20" s="158" t="s">
        <v>236</v>
      </c>
      <c r="R20" s="167"/>
      <c r="S20" s="440">
        <v>84.99</v>
      </c>
      <c r="T20" s="441"/>
      <c r="U20" s="205"/>
      <c r="V20" s="181"/>
      <c r="W20" s="181"/>
      <c r="X20" s="181"/>
      <c r="Y20" s="181"/>
      <c r="AF20" s="158" t="s">
        <v>198</v>
      </c>
    </row>
    <row r="21" spans="1:36" ht="6" customHeight="1">
      <c r="A21" s="1022"/>
      <c r="B21" s="1024"/>
      <c r="C21" s="1022"/>
      <c r="D21" s="1022"/>
      <c r="E21" s="1022"/>
      <c r="F21" s="181"/>
      <c r="G21" s="206"/>
      <c r="H21" s="206"/>
      <c r="I21" s="206"/>
      <c r="J21" s="181"/>
      <c r="K21" s="181"/>
      <c r="R21" s="167"/>
      <c r="S21" s="207"/>
      <c r="T21" s="207"/>
      <c r="U21" s="205"/>
      <c r="V21" s="181"/>
      <c r="W21" s="181"/>
      <c r="X21" s="181"/>
      <c r="Y21" s="181"/>
    </row>
    <row r="22" spans="1:36">
      <c r="A22" s="1022"/>
      <c r="B22" s="1024" t="s">
        <v>230</v>
      </c>
      <c r="C22" s="1022"/>
      <c r="D22" s="1022"/>
      <c r="E22" s="1022"/>
      <c r="F22" s="181"/>
      <c r="G22" s="467">
        <v>1568</v>
      </c>
      <c r="H22" s="468"/>
      <c r="I22" s="469"/>
      <c r="J22" s="181"/>
      <c r="K22" s="181"/>
      <c r="M22" s="158" t="s">
        <v>237</v>
      </c>
      <c r="R22" s="167"/>
      <c r="S22" s="440">
        <v>89.77</v>
      </c>
      <c r="T22" s="470"/>
      <c r="U22" s="205"/>
      <c r="V22" s="181"/>
      <c r="W22" s="181"/>
      <c r="X22" s="181"/>
      <c r="Y22" s="181"/>
    </row>
    <row r="23" spans="1:36" ht="6" customHeight="1">
      <c r="A23" s="1022"/>
      <c r="B23" s="1024"/>
      <c r="C23" s="1022"/>
      <c r="D23" s="1022"/>
      <c r="E23" s="1022"/>
      <c r="F23" s="181"/>
      <c r="G23" s="206"/>
      <c r="H23" s="206"/>
      <c r="I23" s="206"/>
      <c r="J23" s="181"/>
      <c r="K23" s="181"/>
      <c r="R23" s="167"/>
      <c r="S23" s="207"/>
      <c r="T23" s="208"/>
      <c r="U23" s="205"/>
      <c r="V23" s="181"/>
      <c r="W23" s="181"/>
      <c r="X23" s="181"/>
      <c r="Y23" s="181"/>
    </row>
    <row r="24" spans="1:36" ht="14.25" customHeight="1">
      <c r="A24" s="1022"/>
      <c r="B24" s="1024" t="s">
        <v>231</v>
      </c>
      <c r="C24" s="1022"/>
      <c r="D24" s="1022"/>
      <c r="E24" s="1022"/>
      <c r="F24" s="181"/>
      <c r="G24" s="467">
        <v>5.6779999999999999</v>
      </c>
      <c r="H24" s="468"/>
      <c r="I24" s="469"/>
      <c r="J24" s="181"/>
      <c r="K24" s="181"/>
      <c r="M24" s="158" t="s">
        <v>238</v>
      </c>
      <c r="R24" s="167"/>
      <c r="S24" s="440">
        <v>13.17</v>
      </c>
      <c r="T24" s="470"/>
      <c r="U24" s="205"/>
      <c r="V24" s="181"/>
      <c r="W24" s="181"/>
      <c r="X24" s="181"/>
      <c r="Y24" s="181"/>
    </row>
    <row r="25" spans="1:36" ht="6" customHeight="1">
      <c r="A25" s="1022"/>
      <c r="B25" s="1024"/>
      <c r="C25" s="1022"/>
      <c r="D25" s="1022"/>
      <c r="E25" s="1022"/>
      <c r="F25" s="181"/>
      <c r="G25" s="206"/>
      <c r="H25" s="206"/>
      <c r="I25" s="206"/>
      <c r="J25" s="181"/>
      <c r="K25" s="181"/>
      <c r="R25" s="167"/>
      <c r="S25" s="207"/>
      <c r="T25" s="208"/>
      <c r="U25" s="205"/>
      <c r="V25" s="181"/>
      <c r="W25" s="181"/>
      <c r="X25" s="181"/>
      <c r="Y25" s="181"/>
    </row>
    <row r="26" spans="1:36" ht="14.25" customHeight="1">
      <c r="A26" s="1022"/>
      <c r="B26" s="1024" t="s">
        <v>232</v>
      </c>
      <c r="C26" s="1022"/>
      <c r="D26" s="1022"/>
      <c r="E26" s="1022"/>
      <c r="F26" s="181"/>
      <c r="G26" s="467">
        <v>1.026</v>
      </c>
      <c r="H26" s="468"/>
      <c r="I26" s="469"/>
      <c r="J26" s="181"/>
      <c r="K26" s="181"/>
      <c r="M26" s="158" t="s">
        <v>46</v>
      </c>
      <c r="R26" s="167"/>
      <c r="S26" s="196"/>
      <c r="T26" s="421">
        <v>1</v>
      </c>
      <c r="U26" s="181"/>
      <c r="V26" s="181"/>
      <c r="W26" s="181"/>
      <c r="X26" s="181"/>
      <c r="Y26" s="181"/>
    </row>
    <row r="27" spans="1:36" ht="6" customHeight="1">
      <c r="A27" s="1022"/>
      <c r="B27" s="1024"/>
      <c r="C27" s="1022"/>
      <c r="D27" s="1022"/>
      <c r="E27" s="1022"/>
      <c r="F27" s="181"/>
      <c r="G27" s="207"/>
      <c r="H27" s="207"/>
      <c r="I27" s="207"/>
      <c r="J27" s="181"/>
      <c r="K27" s="181"/>
      <c r="R27" s="167"/>
      <c r="S27" s="196"/>
      <c r="T27" s="209"/>
      <c r="U27" s="181"/>
      <c r="V27" s="181"/>
      <c r="W27" s="181"/>
      <c r="X27" s="181"/>
      <c r="Y27" s="181"/>
    </row>
    <row r="28" spans="1:36" ht="14.25" customHeight="1">
      <c r="A28" s="1022"/>
      <c r="B28" s="1024" t="s">
        <v>233</v>
      </c>
      <c r="C28" s="1022"/>
      <c r="D28" s="1022"/>
      <c r="E28" s="1022"/>
      <c r="F28" s="181"/>
      <c r="G28" s="467">
        <v>4231</v>
      </c>
      <c r="H28" s="468"/>
      <c r="I28" s="469"/>
      <c r="J28" s="181"/>
      <c r="K28" s="181"/>
      <c r="M28" s="167" t="s">
        <v>47</v>
      </c>
      <c r="R28" s="167"/>
      <c r="S28" s="196"/>
      <c r="T28" s="421">
        <v>23</v>
      </c>
      <c r="U28" s="181"/>
      <c r="V28" s="181"/>
      <c r="W28" s="181"/>
      <c r="X28" s="181"/>
      <c r="Y28" s="181"/>
    </row>
    <row r="29" spans="1:36" ht="6" customHeight="1">
      <c r="A29" s="1022"/>
      <c r="B29" s="1024"/>
      <c r="C29" s="1022"/>
      <c r="D29" s="1022"/>
      <c r="E29" s="1022"/>
      <c r="F29" s="181"/>
      <c r="G29" s="206"/>
      <c r="H29" s="206"/>
      <c r="I29" s="206"/>
      <c r="J29" s="181"/>
      <c r="K29" s="181"/>
      <c r="M29" s="167"/>
      <c r="R29" s="167"/>
      <c r="S29" s="196"/>
      <c r="T29" s="209"/>
      <c r="U29" s="181"/>
      <c r="V29" s="181"/>
      <c r="W29" s="181"/>
      <c r="X29" s="181"/>
      <c r="Y29" s="181"/>
    </row>
    <row r="30" spans="1:36" ht="14.25" customHeight="1">
      <c r="A30" s="1022"/>
      <c r="B30" s="1024" t="s">
        <v>234</v>
      </c>
      <c r="C30" s="1022"/>
      <c r="D30" s="1022"/>
      <c r="E30" s="1022"/>
      <c r="F30" s="181"/>
      <c r="G30" s="467">
        <v>1287</v>
      </c>
      <c r="H30" s="468"/>
      <c r="I30" s="469"/>
      <c r="J30" s="181"/>
      <c r="K30" s="181"/>
      <c r="M30" s="167" t="s">
        <v>48</v>
      </c>
      <c r="R30" s="167"/>
      <c r="S30" s="196"/>
      <c r="T30" s="421">
        <v>2</v>
      </c>
      <c r="U30" s="181"/>
      <c r="V30" s="181"/>
      <c r="W30" s="181"/>
      <c r="X30" s="181"/>
      <c r="Y30" s="181"/>
    </row>
    <row r="31" spans="1:36" ht="6" customHeight="1">
      <c r="A31" s="1022"/>
      <c r="B31" s="1024"/>
      <c r="C31" s="1022"/>
      <c r="D31" s="1022"/>
      <c r="E31" s="1022"/>
      <c r="F31" s="181"/>
      <c r="G31" s="206"/>
      <c r="H31" s="206"/>
      <c r="I31" s="206"/>
      <c r="J31" s="181"/>
      <c r="K31" s="181"/>
      <c r="M31" s="167"/>
      <c r="R31" s="167"/>
      <c r="S31" s="181"/>
      <c r="T31" s="210"/>
      <c r="U31" s="181"/>
      <c r="V31" s="181"/>
      <c r="W31" s="181"/>
      <c r="X31" s="181"/>
      <c r="Y31" s="196"/>
    </row>
    <row r="32" spans="1:36" ht="14.25" customHeight="1">
      <c r="A32" s="1022"/>
      <c r="B32" s="1024" t="s">
        <v>235</v>
      </c>
      <c r="C32" s="1022"/>
      <c r="D32" s="1022"/>
      <c r="E32" s="1022"/>
      <c r="F32" s="181"/>
      <c r="G32" s="467">
        <v>120</v>
      </c>
      <c r="H32" s="468"/>
      <c r="I32" s="469"/>
      <c r="J32" s="181"/>
      <c r="K32" s="181"/>
      <c r="M32" s="158" t="s">
        <v>210</v>
      </c>
      <c r="S32" s="181"/>
      <c r="T32" s="422">
        <v>0</v>
      </c>
      <c r="U32" s="181"/>
      <c r="V32" s="181"/>
      <c r="W32" s="181"/>
      <c r="X32" s="181"/>
      <c r="Y32" s="181"/>
    </row>
    <row r="33" spans="1:31" ht="6" customHeight="1">
      <c r="A33" s="1022"/>
      <c r="B33" s="1022"/>
      <c r="C33" s="1022"/>
      <c r="D33" s="1022"/>
      <c r="E33" s="1022"/>
    </row>
    <row r="34" spans="1:31">
      <c r="A34" s="1022"/>
      <c r="B34" s="1022"/>
      <c r="C34" s="1022"/>
      <c r="D34" s="1022"/>
      <c r="E34" s="1022"/>
    </row>
    <row r="35" spans="1:31" s="167" customFormat="1">
      <c r="A35" s="1024"/>
      <c r="B35" s="1022"/>
      <c r="C35" s="1022"/>
      <c r="D35" s="1024"/>
      <c r="E35" s="1024"/>
      <c r="F35" s="485" t="s">
        <v>2</v>
      </c>
      <c r="G35" s="486"/>
      <c r="H35" s="486"/>
      <c r="I35" s="486"/>
      <c r="J35" s="486"/>
      <c r="K35" s="487"/>
      <c r="L35" s="488" t="s">
        <v>3</v>
      </c>
      <c r="M35" s="486"/>
      <c r="N35" s="486"/>
      <c r="O35" s="486"/>
      <c r="P35" s="486"/>
      <c r="Q35" s="489"/>
    </row>
    <row r="36" spans="1:31" s="167" customFormat="1">
      <c r="A36" s="1024"/>
      <c r="B36" s="1022"/>
      <c r="C36" s="1024"/>
      <c r="D36" s="1024"/>
      <c r="E36" s="1024"/>
      <c r="I36" s="427"/>
      <c r="K36" s="211"/>
      <c r="L36" s="212"/>
      <c r="Q36" s="427"/>
    </row>
    <row r="37" spans="1:31" s="167" customFormat="1" ht="6.75" customHeight="1">
      <c r="B37" s="213"/>
      <c r="C37" s="170"/>
      <c r="D37" s="170"/>
      <c r="E37" s="170"/>
      <c r="F37" s="170"/>
      <c r="G37" s="170"/>
      <c r="H37" s="170"/>
      <c r="I37" s="214"/>
      <c r="J37" s="215"/>
      <c r="K37" s="216"/>
      <c r="L37" s="217"/>
      <c r="M37" s="215"/>
      <c r="N37" s="215"/>
      <c r="O37" s="215"/>
      <c r="P37" s="215"/>
      <c r="Q37" s="216"/>
      <c r="R37" s="218"/>
    </row>
    <row r="38" spans="1:31" s="167" customFormat="1" ht="14.25" customHeight="1">
      <c r="B38" s="471" t="s">
        <v>49</v>
      </c>
      <c r="C38" s="472"/>
      <c r="D38" s="472"/>
      <c r="E38" s="472"/>
      <c r="F38" s="472"/>
      <c r="G38" s="472"/>
      <c r="H38" s="472"/>
      <c r="I38" s="473">
        <v>80.400000000000006</v>
      </c>
      <c r="J38" s="474"/>
      <c r="K38" s="133" t="s">
        <v>5</v>
      </c>
      <c r="L38" s="219"/>
      <c r="M38" s="196"/>
      <c r="N38" s="196"/>
      <c r="O38" s="473">
        <v>160</v>
      </c>
      <c r="P38" s="474"/>
      <c r="Q38" s="133" t="s">
        <v>5</v>
      </c>
      <c r="R38" s="220"/>
      <c r="T38" s="221"/>
    </row>
    <row r="39" spans="1:31" s="167" customFormat="1" ht="6" customHeight="1">
      <c r="A39" s="427"/>
      <c r="B39" s="424"/>
      <c r="C39" s="425"/>
      <c r="D39" s="435"/>
      <c r="E39" s="435"/>
      <c r="F39" s="435"/>
      <c r="G39" s="436"/>
      <c r="H39" s="436"/>
      <c r="I39" s="222"/>
      <c r="J39" s="222"/>
      <c r="K39" s="219"/>
      <c r="L39" s="219"/>
      <c r="M39" s="196"/>
      <c r="N39" s="196"/>
      <c r="O39" s="222"/>
      <c r="P39" s="222"/>
      <c r="Q39" s="219"/>
      <c r="R39" s="220"/>
      <c r="T39" s="221"/>
    </row>
    <row r="40" spans="1:31" s="167" customFormat="1" ht="14.25" customHeight="1">
      <c r="A40" s="427"/>
      <c r="B40" s="471" t="s">
        <v>50</v>
      </c>
      <c r="C40" s="475"/>
      <c r="D40" s="476"/>
      <c r="E40" s="476"/>
      <c r="F40" s="476"/>
      <c r="G40" s="476"/>
      <c r="H40" s="476"/>
      <c r="I40" s="473">
        <v>180</v>
      </c>
      <c r="J40" s="474"/>
      <c r="K40" s="133" t="s">
        <v>5</v>
      </c>
      <c r="L40" s="219"/>
      <c r="M40" s="196"/>
      <c r="N40" s="196"/>
      <c r="O40" s="473">
        <v>55</v>
      </c>
      <c r="P40" s="474"/>
      <c r="Q40" s="133" t="s">
        <v>226</v>
      </c>
      <c r="R40" s="220"/>
      <c r="T40" s="223"/>
      <c r="W40" s="224"/>
      <c r="X40" s="224"/>
      <c r="Y40" s="224"/>
    </row>
    <row r="41" spans="1:31" s="167" customFormat="1" ht="6" customHeight="1">
      <c r="A41" s="436"/>
      <c r="B41" s="424"/>
      <c r="C41" s="434"/>
      <c r="D41" s="435"/>
      <c r="E41" s="435"/>
      <c r="F41" s="435"/>
      <c r="G41" s="436"/>
      <c r="H41" s="436"/>
      <c r="I41" s="222"/>
      <c r="J41" s="222"/>
      <c r="K41" s="219"/>
      <c r="L41" s="219"/>
      <c r="M41" s="196"/>
      <c r="N41" s="196"/>
      <c r="O41" s="222"/>
      <c r="P41" s="222"/>
      <c r="Q41" s="219"/>
      <c r="R41" s="220"/>
      <c r="T41" s="223"/>
      <c r="W41" s="224"/>
      <c r="X41" s="224"/>
      <c r="Y41" s="224"/>
    </row>
    <row r="42" spans="1:31" s="167" customFormat="1" ht="14.25" customHeight="1">
      <c r="B42" s="471" t="s">
        <v>51</v>
      </c>
      <c r="C42" s="472"/>
      <c r="D42" s="472"/>
      <c r="E42" s="472"/>
      <c r="F42" s="472"/>
      <c r="G42" s="476"/>
      <c r="H42" s="476"/>
      <c r="I42" s="481">
        <v>116</v>
      </c>
      <c r="J42" s="482"/>
      <c r="K42" s="133" t="s">
        <v>365</v>
      </c>
      <c r="L42" s="225"/>
      <c r="M42" s="196"/>
      <c r="N42" s="196"/>
      <c r="O42" s="481">
        <v>165</v>
      </c>
      <c r="P42" s="482"/>
      <c r="Q42" s="133" t="s">
        <v>5</v>
      </c>
      <c r="R42" s="220"/>
      <c r="T42" s="223"/>
      <c r="W42" s="224"/>
      <c r="X42" s="224"/>
      <c r="Y42" s="224"/>
    </row>
    <row r="43" spans="1:31" s="167" customFormat="1" ht="6" customHeight="1">
      <c r="A43" s="436"/>
      <c r="B43" s="428"/>
      <c r="C43" s="226"/>
      <c r="D43" s="226"/>
      <c r="E43" s="226"/>
      <c r="F43" s="226"/>
      <c r="G43" s="436"/>
      <c r="H43" s="436"/>
      <c r="I43" s="227"/>
      <c r="J43" s="227"/>
      <c r="K43" s="219"/>
      <c r="L43" s="225"/>
      <c r="M43" s="196"/>
      <c r="N43" s="196"/>
      <c r="O43" s="228"/>
      <c r="P43" s="228"/>
      <c r="Q43" s="219"/>
      <c r="R43" s="220"/>
      <c r="T43" s="223"/>
      <c r="W43" s="224"/>
      <c r="X43" s="224"/>
      <c r="Y43" s="224"/>
    </row>
    <row r="44" spans="1:31" s="167" customFormat="1" ht="13.5" customHeight="1">
      <c r="B44" s="483"/>
      <c r="C44" s="484"/>
      <c r="D44" s="484"/>
      <c r="E44" s="484"/>
      <c r="F44" s="484"/>
      <c r="G44" s="484"/>
      <c r="H44" s="484"/>
      <c r="I44" s="484"/>
      <c r="J44" s="484"/>
      <c r="K44" s="484"/>
      <c r="L44" s="229"/>
      <c r="M44" s="230"/>
      <c r="R44" s="231"/>
      <c r="T44" s="223"/>
      <c r="Z44" s="224"/>
      <c r="AB44" s="224"/>
    </row>
    <row r="45" spans="1:31" s="167" customFormat="1" ht="16">
      <c r="B45" s="483"/>
      <c r="C45" s="484"/>
      <c r="D45" s="484"/>
      <c r="E45" s="484"/>
      <c r="F45" s="484"/>
      <c r="G45" s="484"/>
      <c r="H45" s="484"/>
      <c r="I45" s="484"/>
      <c r="J45" s="484"/>
      <c r="K45" s="484"/>
      <c r="R45" s="231"/>
      <c r="T45" s="223"/>
      <c r="Z45" s="224"/>
      <c r="AA45" s="224"/>
    </row>
    <row r="46" spans="1:31" s="167" customFormat="1" ht="6" customHeight="1">
      <c r="B46" s="232"/>
      <c r="C46" s="233"/>
      <c r="D46" s="233"/>
      <c r="E46" s="233"/>
      <c r="F46" s="233"/>
      <c r="G46" s="233"/>
      <c r="H46" s="234"/>
      <c r="K46" s="168"/>
      <c r="L46" s="235"/>
      <c r="N46" s="234"/>
      <c r="R46" s="231"/>
      <c r="T46" s="223"/>
      <c r="Z46" s="224"/>
      <c r="AA46" s="224"/>
    </row>
    <row r="47" spans="1:31" s="167" customFormat="1">
      <c r="B47" s="236" t="s">
        <v>52</v>
      </c>
      <c r="C47" s="183"/>
      <c r="I47" s="237"/>
      <c r="J47" s="158"/>
      <c r="K47" s="238"/>
      <c r="L47" s="238"/>
      <c r="O47" s="181"/>
      <c r="P47" s="196"/>
      <c r="R47" s="231"/>
    </row>
    <row r="48" spans="1:31" s="167" customFormat="1" ht="19" customHeight="1">
      <c r="B48" s="239"/>
      <c r="C48" s="240"/>
      <c r="D48" s="240"/>
      <c r="E48" s="447" t="s">
        <v>6</v>
      </c>
      <c r="F48" s="448"/>
      <c r="G48" s="448"/>
      <c r="H48" s="448"/>
      <c r="I48" s="479">
        <v>123</v>
      </c>
      <c r="J48" s="480"/>
      <c r="K48" s="241"/>
      <c r="L48" s="450" t="s">
        <v>6</v>
      </c>
      <c r="M48" s="450"/>
      <c r="N48" s="450"/>
      <c r="O48" s="479">
        <v>205</v>
      </c>
      <c r="P48" s="480"/>
      <c r="Q48" s="171"/>
      <c r="R48" s="231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</row>
    <row r="49" spans="2:24" s="167" customFormat="1" ht="6" customHeight="1">
      <c r="B49" s="239"/>
      <c r="C49" s="240"/>
      <c r="D49" s="240"/>
      <c r="E49" s="431"/>
      <c r="F49" s="435"/>
      <c r="G49" s="435"/>
      <c r="H49" s="435"/>
      <c r="I49" s="242"/>
      <c r="J49" s="242"/>
      <c r="K49" s="243"/>
      <c r="L49" s="244"/>
      <c r="M49" s="244"/>
      <c r="N49" s="244"/>
      <c r="O49" s="242"/>
      <c r="P49" s="242"/>
      <c r="Q49" s="231"/>
      <c r="R49" s="231"/>
    </row>
    <row r="50" spans="2:24" s="167" customFormat="1" ht="18.5" customHeight="1">
      <c r="B50" s="239"/>
      <c r="C50" s="240"/>
      <c r="D50" s="240"/>
      <c r="E50" s="477" t="s">
        <v>7</v>
      </c>
      <c r="F50" s="478"/>
      <c r="G50" s="478"/>
      <c r="H50" s="478"/>
      <c r="I50" s="479">
        <v>123</v>
      </c>
      <c r="J50" s="480"/>
      <c r="K50" s="245"/>
      <c r="L50" s="449" t="s">
        <v>7</v>
      </c>
      <c r="M50" s="449"/>
      <c r="N50" s="449"/>
      <c r="O50" s="479">
        <v>205</v>
      </c>
      <c r="P50" s="480"/>
      <c r="Q50" s="246"/>
      <c r="R50" s="231"/>
    </row>
    <row r="51" spans="2:24" s="167" customFormat="1" ht="14.25" customHeight="1">
      <c r="B51" s="247"/>
      <c r="I51" s="248"/>
      <c r="J51" s="208"/>
      <c r="K51" s="172"/>
      <c r="O51" s="249"/>
      <c r="P51" s="249"/>
      <c r="R51" s="231"/>
    </row>
    <row r="52" spans="2:24" s="167" customFormat="1" ht="17" customHeight="1">
      <c r="B52" s="250"/>
      <c r="C52" s="251"/>
      <c r="D52" s="251"/>
      <c r="E52" s="447" t="s">
        <v>8</v>
      </c>
      <c r="F52" s="448"/>
      <c r="G52" s="448"/>
      <c r="H52" s="448"/>
      <c r="I52" s="479">
        <v>523</v>
      </c>
      <c r="J52" s="480"/>
      <c r="K52" s="241"/>
      <c r="L52" s="450" t="s">
        <v>8</v>
      </c>
      <c r="M52" s="450"/>
      <c r="N52" s="450"/>
      <c r="O52" s="479">
        <v>326</v>
      </c>
      <c r="P52" s="480"/>
      <c r="Q52" s="171"/>
      <c r="R52" s="231"/>
    </row>
    <row r="53" spans="2:24" s="167" customFormat="1" ht="11" customHeight="1">
      <c r="B53" s="250"/>
      <c r="C53" s="251"/>
      <c r="D53" s="251"/>
      <c r="E53" s="431"/>
      <c r="F53" s="435"/>
      <c r="G53" s="435"/>
      <c r="H53" s="435"/>
      <c r="I53" s="242"/>
      <c r="J53" s="242"/>
      <c r="K53" s="243"/>
      <c r="L53" s="244"/>
      <c r="M53" s="244"/>
      <c r="O53" s="242"/>
      <c r="P53" s="242"/>
      <c r="Q53" s="231"/>
      <c r="R53" s="231"/>
      <c r="U53" s="447"/>
      <c r="V53" s="448"/>
      <c r="W53" s="448"/>
      <c r="X53" s="448"/>
    </row>
    <row r="54" spans="2:24" s="167" customFormat="1" ht="16" customHeight="1">
      <c r="B54" s="250"/>
      <c r="C54" s="251"/>
      <c r="D54" s="251"/>
      <c r="E54" s="477" t="s">
        <v>9</v>
      </c>
      <c r="F54" s="478"/>
      <c r="G54" s="478"/>
      <c r="H54" s="478"/>
      <c r="I54" s="479">
        <v>523</v>
      </c>
      <c r="J54" s="480"/>
      <c r="K54" s="245"/>
      <c r="L54" s="449" t="s">
        <v>9</v>
      </c>
      <c r="M54" s="449"/>
      <c r="N54" s="449"/>
      <c r="O54" s="479">
        <v>326</v>
      </c>
      <c r="P54" s="480"/>
      <c r="Q54" s="246"/>
      <c r="R54" s="231"/>
    </row>
    <row r="55" spans="2:24" s="167" customFormat="1" ht="13.5" customHeight="1">
      <c r="B55" s="252"/>
      <c r="G55" s="158"/>
      <c r="I55" s="253"/>
      <c r="J55" s="253"/>
      <c r="K55" s="254"/>
      <c r="L55" s="158"/>
      <c r="O55" s="255"/>
      <c r="P55" s="256"/>
      <c r="R55" s="231"/>
    </row>
    <row r="56" spans="2:24" s="167" customFormat="1" ht="14.25" customHeight="1">
      <c r="B56" s="250"/>
      <c r="C56" s="251"/>
      <c r="D56" s="251"/>
      <c r="E56" s="447" t="s">
        <v>10</v>
      </c>
      <c r="F56" s="448"/>
      <c r="G56" s="448"/>
      <c r="H56" s="448"/>
      <c r="I56" s="479">
        <v>505</v>
      </c>
      <c r="J56" s="480"/>
      <c r="K56" s="241"/>
      <c r="L56" s="450" t="s">
        <v>10</v>
      </c>
      <c r="M56" s="450"/>
      <c r="N56" s="450"/>
      <c r="O56" s="473">
        <v>266</v>
      </c>
      <c r="P56" s="474"/>
      <c r="Q56" s="171"/>
      <c r="R56" s="231"/>
    </row>
    <row r="57" spans="2:24" s="167" customFormat="1" ht="6" customHeight="1">
      <c r="B57" s="250"/>
      <c r="C57" s="251"/>
      <c r="D57" s="251"/>
      <c r="E57" s="431"/>
      <c r="F57" s="435"/>
      <c r="G57" s="435"/>
      <c r="H57" s="435"/>
      <c r="I57" s="242"/>
      <c r="J57" s="242"/>
      <c r="K57" s="243"/>
      <c r="L57" s="244"/>
      <c r="M57" s="244"/>
      <c r="O57" s="257"/>
      <c r="P57" s="257"/>
      <c r="Q57" s="231"/>
      <c r="R57" s="231"/>
    </row>
    <row r="58" spans="2:24" s="167" customFormat="1" ht="15.5" customHeight="1">
      <c r="B58" s="250"/>
      <c r="C58" s="251"/>
      <c r="D58" s="251"/>
      <c r="E58" s="477" t="s">
        <v>11</v>
      </c>
      <c r="F58" s="478"/>
      <c r="G58" s="478"/>
      <c r="H58" s="478"/>
      <c r="I58" s="479">
        <v>560</v>
      </c>
      <c r="J58" s="480"/>
      <c r="K58" s="245"/>
      <c r="L58" s="449" t="s">
        <v>11</v>
      </c>
      <c r="M58" s="449"/>
      <c r="N58" s="449"/>
      <c r="O58" s="473">
        <v>266</v>
      </c>
      <c r="P58" s="474"/>
      <c r="Q58" s="246"/>
      <c r="R58" s="231"/>
      <c r="V58" s="224"/>
      <c r="X58" s="224"/>
    </row>
    <row r="59" spans="2:24" s="167" customFormat="1">
      <c r="B59" s="252"/>
      <c r="C59" s="158"/>
      <c r="I59" s="253"/>
      <c r="J59" s="253"/>
      <c r="K59" s="197"/>
      <c r="L59" s="258"/>
      <c r="O59" s="259"/>
      <c r="P59" s="249"/>
      <c r="R59" s="231"/>
      <c r="V59" s="224"/>
      <c r="W59" s="224"/>
    </row>
    <row r="60" spans="2:24" s="167" customFormat="1" ht="21.5" thickBot="1">
      <c r="B60" s="471" t="s">
        <v>12</v>
      </c>
      <c r="C60" s="472"/>
      <c r="D60" s="472"/>
      <c r="E60" s="472"/>
      <c r="F60" s="472"/>
      <c r="G60" s="472"/>
      <c r="H60" s="521"/>
      <c r="I60" s="522">
        <f>(ROUND((H152+H158+6*H164)/8,2))-T32</f>
        <v>482.66</v>
      </c>
      <c r="J60" s="523"/>
      <c r="K60" s="254"/>
      <c r="L60" s="451" t="s">
        <v>12</v>
      </c>
      <c r="M60" s="452"/>
      <c r="N60" s="451"/>
      <c r="O60" s="524">
        <f>IF(N168="","",ROUND((N152+N158+6*N164)/8,2))-T32</f>
        <v>263.88</v>
      </c>
      <c r="P60" s="525"/>
      <c r="R60" s="231"/>
      <c r="V60" s="224"/>
      <c r="W60" s="224"/>
    </row>
    <row r="61" spans="2:24" s="167" customFormat="1" ht="17" thickBot="1">
      <c r="B61" s="252"/>
      <c r="C61" s="158"/>
      <c r="D61" s="158"/>
      <c r="E61" s="158"/>
      <c r="F61" s="158"/>
      <c r="G61" s="158"/>
      <c r="H61" s="158"/>
      <c r="I61" s="181"/>
      <c r="J61" s="196"/>
      <c r="K61" s="168"/>
      <c r="L61" s="260"/>
      <c r="M61" s="261"/>
      <c r="N61" s="261"/>
      <c r="O61" s="261"/>
      <c r="R61" s="231"/>
    </row>
    <row r="62" spans="2:24" s="167" customFormat="1" ht="14.25" customHeight="1">
      <c r="B62" s="262" t="s">
        <v>53</v>
      </c>
      <c r="C62" s="263"/>
      <c r="D62" s="263"/>
      <c r="E62" s="263"/>
      <c r="F62" s="263"/>
      <c r="G62" s="263"/>
      <c r="H62" s="263"/>
      <c r="I62" s="263"/>
      <c r="J62" s="264" t="s">
        <v>54</v>
      </c>
      <c r="K62" s="1018">
        <v>1.0249999999999999</v>
      </c>
      <c r="L62" s="1019"/>
      <c r="M62" s="263"/>
      <c r="N62" s="263"/>
      <c r="O62" s="263"/>
      <c r="P62" s="263"/>
      <c r="Q62" s="263"/>
      <c r="R62" s="265"/>
    </row>
    <row r="63" spans="2:24" s="167" customFormat="1">
      <c r="B63" s="266"/>
      <c r="C63" s="173"/>
      <c r="D63" s="173"/>
      <c r="E63" s="173"/>
      <c r="F63" s="173"/>
      <c r="G63" s="173"/>
      <c r="H63" s="173"/>
      <c r="I63" s="173"/>
      <c r="J63" s="267"/>
      <c r="K63" s="268"/>
      <c r="L63" s="269"/>
      <c r="M63" s="173"/>
      <c r="N63" s="173"/>
      <c r="O63" s="173"/>
      <c r="P63" s="270"/>
      <c r="R63" s="231"/>
    </row>
    <row r="64" spans="2:24" s="167" customFormat="1" ht="14.25" customHeight="1">
      <c r="B64" s="271" t="s">
        <v>28</v>
      </c>
      <c r="C64" s="168"/>
      <c r="D64" s="168"/>
      <c r="E64" s="168"/>
      <c r="F64" s="1031">
        <f>ROUND(CEILING(F65,1),0)</f>
        <v>483</v>
      </c>
      <c r="G64" s="1032"/>
      <c r="H64" s="515">
        <v>6544</v>
      </c>
      <c r="I64" s="526"/>
      <c r="J64" s="527"/>
      <c r="K64" s="268"/>
      <c r="L64" s="1033">
        <f>ROUND(CEILING(L65,1),0)</f>
        <v>264</v>
      </c>
      <c r="M64" s="1034"/>
      <c r="N64" s="518">
        <v>4433</v>
      </c>
      <c r="O64" s="519"/>
      <c r="P64" s="520"/>
      <c r="R64" s="231"/>
    </row>
    <row r="65" spans="2:32" s="167" customFormat="1">
      <c r="B65" s="271" t="s">
        <v>55</v>
      </c>
      <c r="C65" s="168"/>
      <c r="D65" s="168"/>
      <c r="E65" s="168"/>
      <c r="F65" s="507">
        <f>I60</f>
        <v>482.66</v>
      </c>
      <c r="G65" s="507"/>
      <c r="H65" s="508">
        <f>IF(H64="","",ROUND(+H66+(((H64-H66)/(F64-F66))*(F65-F66)),3))</f>
        <v>6502.18</v>
      </c>
      <c r="I65" s="509"/>
      <c r="J65" s="510"/>
      <c r="K65" s="268"/>
      <c r="L65" s="511">
        <f>O60</f>
        <v>263.88</v>
      </c>
      <c r="M65" s="512"/>
      <c r="N65" s="513">
        <f>IF(N64="","",ROUND(+N66+(((N64-N66)/(L64-L66))*(L65-L66)),3))</f>
        <v>4431.68</v>
      </c>
      <c r="O65" s="513"/>
      <c r="P65" s="514"/>
      <c r="R65" s="231"/>
    </row>
    <row r="66" spans="2:32" s="167" customFormat="1" ht="14.25" customHeight="1">
      <c r="B66" s="272" t="s">
        <v>27</v>
      </c>
      <c r="C66" s="273"/>
      <c r="D66" s="273"/>
      <c r="E66" s="273"/>
      <c r="F66" s="1031">
        <f>ROUND(F64-1,0)</f>
        <v>482</v>
      </c>
      <c r="G66" s="1032"/>
      <c r="H66" s="515">
        <v>6421</v>
      </c>
      <c r="I66" s="516"/>
      <c r="J66" s="517"/>
      <c r="K66" s="268"/>
      <c r="L66" s="1033">
        <f>ROUND(L64-1,0)</f>
        <v>263</v>
      </c>
      <c r="M66" s="1035"/>
      <c r="N66" s="518">
        <v>4422</v>
      </c>
      <c r="O66" s="519"/>
      <c r="P66" s="520"/>
      <c r="R66" s="231"/>
    </row>
    <row r="67" spans="2:32" s="167" customFormat="1" ht="14.25" customHeight="1" thickBot="1">
      <c r="B67" s="274"/>
      <c r="F67" s="202"/>
      <c r="J67" s="275"/>
      <c r="K67" s="268"/>
      <c r="L67" s="276"/>
      <c r="N67" s="277"/>
      <c r="O67" s="434"/>
      <c r="P67" s="434"/>
      <c r="R67" s="231"/>
    </row>
    <row r="68" spans="2:32" s="167" customFormat="1" ht="14.25" customHeight="1">
      <c r="B68" s="262" t="s">
        <v>4</v>
      </c>
      <c r="C68" s="263"/>
      <c r="D68" s="263"/>
      <c r="E68" s="263"/>
      <c r="F68" s="278"/>
      <c r="G68" s="263"/>
      <c r="H68" s="263"/>
      <c r="I68" s="263"/>
      <c r="J68" s="278"/>
      <c r="K68" s="278"/>
      <c r="L68" s="279"/>
      <c r="M68" s="263"/>
      <c r="N68" s="264"/>
      <c r="O68" s="264"/>
      <c r="P68" s="264"/>
      <c r="Q68" s="263"/>
      <c r="R68" s="265"/>
    </row>
    <row r="69" spans="2:32" s="167" customFormat="1" ht="14.25" customHeight="1">
      <c r="B69" s="280" t="str">
        <f>+B64</f>
        <v>Draft Sup</v>
      </c>
      <c r="C69" s="173"/>
      <c r="D69" s="173"/>
      <c r="E69" s="173"/>
      <c r="F69" s="538">
        <f>F64</f>
        <v>483</v>
      </c>
      <c r="G69" s="538"/>
      <c r="H69" s="173"/>
      <c r="I69" s="539">
        <v>10</v>
      </c>
      <c r="J69" s="540"/>
      <c r="K69" s="268"/>
      <c r="L69" s="541">
        <f>L64</f>
        <v>264</v>
      </c>
      <c r="M69" s="542"/>
      <c r="N69" s="164"/>
      <c r="O69" s="539">
        <v>9</v>
      </c>
      <c r="P69" s="540"/>
      <c r="R69" s="231"/>
    </row>
    <row r="70" spans="2:32" s="167" customFormat="1">
      <c r="B70" s="271" t="str">
        <f>+B65</f>
        <v>Quarter mean</v>
      </c>
      <c r="C70" s="168"/>
      <c r="D70" s="168"/>
      <c r="E70" s="168"/>
      <c r="F70" s="543">
        <f>+F65</f>
        <v>482.66</v>
      </c>
      <c r="G70" s="544"/>
      <c r="H70" s="168"/>
      <c r="I70" s="545">
        <f>IF(I69="","",ROUND(+I71+(((I69-I71)/(F69-F71))*(F70-F71)),3))</f>
        <v>10</v>
      </c>
      <c r="J70" s="514"/>
      <c r="K70" s="281"/>
      <c r="L70" s="546">
        <f>+L65</f>
        <v>263.88</v>
      </c>
      <c r="M70" s="547"/>
      <c r="N70" s="429"/>
      <c r="O70" s="545">
        <f>IF(O69="","",ROUND(+O71+(((O69-O71)/(L69-L71))*(L70-L71)),3))</f>
        <v>9</v>
      </c>
      <c r="P70" s="514"/>
      <c r="R70" s="231"/>
      <c r="S70" s="230"/>
      <c r="T70" s="230"/>
    </row>
    <row r="71" spans="2:32" s="167" customFormat="1">
      <c r="B71" s="271" t="str">
        <f>+B66</f>
        <v>Draft Inf</v>
      </c>
      <c r="C71" s="168"/>
      <c r="D71" s="168"/>
      <c r="E71" s="168"/>
      <c r="F71" s="528">
        <f>F66</f>
        <v>482</v>
      </c>
      <c r="G71" s="528"/>
      <c r="H71" s="168"/>
      <c r="I71" s="529">
        <v>10</v>
      </c>
      <c r="J71" s="530"/>
      <c r="K71" s="268"/>
      <c r="L71" s="531">
        <f>L66</f>
        <v>263</v>
      </c>
      <c r="M71" s="532"/>
      <c r="N71" s="429"/>
      <c r="O71" s="529">
        <v>9</v>
      </c>
      <c r="P71" s="533"/>
      <c r="R71" s="231"/>
    </row>
    <row r="72" spans="2:32" s="167" customFormat="1" ht="3.75" customHeight="1" thickBot="1">
      <c r="B72" s="282"/>
      <c r="C72" s="283"/>
      <c r="D72" s="283"/>
      <c r="E72" s="283"/>
      <c r="F72" s="284"/>
      <c r="G72" s="283"/>
      <c r="H72" s="283"/>
      <c r="I72" s="283"/>
      <c r="J72" s="285"/>
      <c r="K72" s="276"/>
      <c r="L72" s="286"/>
      <c r="M72" s="283"/>
      <c r="N72" s="287"/>
      <c r="O72" s="288"/>
      <c r="P72" s="289"/>
      <c r="Q72" s="283"/>
      <c r="R72" s="290"/>
      <c r="AF72" s="291"/>
    </row>
    <row r="73" spans="2:32" s="167" customFormat="1">
      <c r="B73" s="292" t="s">
        <v>56</v>
      </c>
      <c r="C73" s="168"/>
      <c r="D73" s="168"/>
      <c r="E73" s="168"/>
      <c r="F73" s="293"/>
      <c r="G73" s="168"/>
      <c r="H73" s="168"/>
      <c r="I73" s="168"/>
      <c r="J73" s="294"/>
      <c r="K73" s="268"/>
      <c r="L73" s="295"/>
      <c r="M73" s="168"/>
      <c r="N73" s="429"/>
      <c r="O73" s="429"/>
      <c r="P73" s="430"/>
      <c r="R73" s="231"/>
      <c r="U73" s="296" t="s">
        <v>57</v>
      </c>
      <c r="V73" s="173"/>
      <c r="W73" s="173"/>
      <c r="X73" s="173"/>
      <c r="Y73" s="173"/>
      <c r="Z73" s="173"/>
      <c r="AA73" s="173"/>
      <c r="AB73" s="173"/>
      <c r="AC73" s="173"/>
      <c r="AD73" s="270"/>
      <c r="AF73" s="291"/>
    </row>
    <row r="74" spans="2:32" s="167" customFormat="1">
      <c r="B74" s="271" t="str">
        <f>+B64</f>
        <v>Draft Sup</v>
      </c>
      <c r="C74" s="168"/>
      <c r="D74" s="168"/>
      <c r="E74" s="168"/>
      <c r="F74" s="534">
        <f>F64</f>
        <v>483</v>
      </c>
      <c r="G74" s="534"/>
      <c r="H74" s="168"/>
      <c r="I74" s="529">
        <v>211</v>
      </c>
      <c r="J74" s="535"/>
      <c r="K74" s="268"/>
      <c r="L74" s="536">
        <f>L64</f>
        <v>264</v>
      </c>
      <c r="M74" s="537"/>
      <c r="N74" s="429"/>
      <c r="O74" s="529">
        <v>65</v>
      </c>
      <c r="P74" s="533"/>
      <c r="Q74" s="427"/>
      <c r="R74" s="231"/>
      <c r="U74" s="295" t="s">
        <v>58</v>
      </c>
      <c r="V74" s="168"/>
      <c r="W74" s="168"/>
      <c r="X74" s="168"/>
      <c r="Y74" s="168"/>
      <c r="Z74" s="168"/>
      <c r="AA74" s="168"/>
      <c r="AB74" s="168"/>
      <c r="AC74" s="168"/>
      <c r="AD74" s="172"/>
    </row>
    <row r="75" spans="2:32" s="167" customFormat="1">
      <c r="B75" s="271" t="str">
        <f>+B65</f>
        <v>Quarter mean</v>
      </c>
      <c r="C75" s="168"/>
      <c r="D75" s="168"/>
      <c r="E75" s="168"/>
      <c r="F75" s="558">
        <f>+F65</f>
        <v>482.66</v>
      </c>
      <c r="G75" s="559"/>
      <c r="H75" s="168"/>
      <c r="I75" s="560">
        <f>IF(I74="","",ROUND(+I76+(((I74-I76)/(F74-F76))*(F75-F76)),1))</f>
        <v>211</v>
      </c>
      <c r="J75" s="561"/>
      <c r="K75" s="1036" t="s">
        <v>5</v>
      </c>
      <c r="L75" s="546">
        <f>+L65</f>
        <v>263.88</v>
      </c>
      <c r="M75" s="547"/>
      <c r="N75" s="429"/>
      <c r="O75" s="560">
        <f>IF(O74="","",ROUND(+O76+(((O74-O76)/(L74-L76))*(L75-L76)),1))</f>
        <v>65</v>
      </c>
      <c r="P75" s="561"/>
      <c r="Q75" s="1036" t="s">
        <v>226</v>
      </c>
      <c r="R75" s="231"/>
      <c r="U75" s="295"/>
      <c r="V75" s="562" t="s">
        <v>59</v>
      </c>
      <c r="W75" s="563"/>
      <c r="X75" s="563"/>
      <c r="Y75" s="564"/>
      <c r="Z75" s="565">
        <f>S20</f>
        <v>84.99</v>
      </c>
      <c r="AA75" s="565"/>
      <c r="AB75" s="168"/>
      <c r="AC75" s="168"/>
      <c r="AD75" s="297"/>
    </row>
    <row r="76" spans="2:32" s="167" customFormat="1">
      <c r="B76" s="272" t="str">
        <f>+B66</f>
        <v>Draft Inf</v>
      </c>
      <c r="C76" s="273"/>
      <c r="D76" s="273"/>
      <c r="E76" s="273"/>
      <c r="F76" s="548">
        <f>F66</f>
        <v>482</v>
      </c>
      <c r="G76" s="548"/>
      <c r="H76" s="273"/>
      <c r="I76" s="549">
        <v>211</v>
      </c>
      <c r="J76" s="550"/>
      <c r="K76" s="268"/>
      <c r="L76" s="551">
        <f>L66</f>
        <v>263</v>
      </c>
      <c r="M76" s="552"/>
      <c r="N76" s="426"/>
      <c r="O76" s="549">
        <v>65</v>
      </c>
      <c r="P76" s="553"/>
      <c r="Q76" s="298"/>
      <c r="R76" s="231"/>
      <c r="U76" s="295"/>
      <c r="V76" s="554" t="s">
        <v>60</v>
      </c>
      <c r="W76" s="555"/>
      <c r="X76" s="555"/>
      <c r="Y76" s="556"/>
      <c r="Z76" s="557">
        <v>44</v>
      </c>
      <c r="AA76" s="557"/>
      <c r="AB76" s="168"/>
      <c r="AC76" s="168"/>
      <c r="AD76" s="297"/>
    </row>
    <row r="77" spans="2:32" s="167" customFormat="1">
      <c r="B77" s="299"/>
      <c r="F77" s="275"/>
      <c r="I77" s="229"/>
      <c r="J77" s="300"/>
      <c r="K77" s="168"/>
      <c r="L77" s="173"/>
      <c r="N77" s="434"/>
      <c r="O77" s="229"/>
      <c r="P77" s="434"/>
      <c r="Q77" s="298"/>
      <c r="R77" s="231"/>
      <c r="U77" s="295"/>
      <c r="V77" s="554" t="s">
        <v>61</v>
      </c>
      <c r="W77" s="555"/>
      <c r="X77" s="555"/>
      <c r="Y77" s="556"/>
      <c r="Z77" s="569">
        <f>+Z75/2</f>
        <v>42.494999999999997</v>
      </c>
      <c r="AA77" s="569"/>
      <c r="AB77" s="168"/>
      <c r="AC77" s="168"/>
      <c r="AD77" s="297"/>
    </row>
    <row r="78" spans="2:32" s="167" customFormat="1" ht="17" thickBot="1">
      <c r="B78" s="301"/>
      <c r="F78" s="275"/>
      <c r="J78" s="300"/>
      <c r="K78" s="168"/>
      <c r="L78" s="283"/>
      <c r="N78" s="434"/>
      <c r="O78" s="277"/>
      <c r="P78" s="434"/>
      <c r="Q78" s="298"/>
      <c r="R78" s="231"/>
      <c r="U78" s="295"/>
      <c r="V78" s="554" t="s">
        <v>62</v>
      </c>
      <c r="W78" s="555"/>
      <c r="X78" s="555"/>
      <c r="Y78" s="556"/>
      <c r="Z78" s="570">
        <f>+(Z77-Z76)*100</f>
        <v>-150.50000000000026</v>
      </c>
      <c r="AA78" s="570"/>
      <c r="AB78" s="302" t="str">
        <f>IF(Z78&lt;0,"F","A")</f>
        <v>F</v>
      </c>
      <c r="AC78" s="168"/>
      <c r="AD78" s="172"/>
    </row>
    <row r="79" spans="2:32" s="167" customFormat="1">
      <c r="B79" s="303" t="s">
        <v>63</v>
      </c>
      <c r="C79" s="263"/>
      <c r="D79" s="263"/>
      <c r="E79" s="263"/>
      <c r="F79" s="304"/>
      <c r="G79" s="263"/>
      <c r="H79" s="263"/>
      <c r="I79" s="263"/>
      <c r="J79" s="305"/>
      <c r="K79" s="263"/>
      <c r="L79" s="279"/>
      <c r="M79" s="263"/>
      <c r="N79" s="264"/>
      <c r="O79" s="306"/>
      <c r="P79" s="264"/>
      <c r="Q79" s="307"/>
      <c r="R79" s="265"/>
      <c r="U79" s="308" t="s">
        <v>64</v>
      </c>
      <c r="V79" s="309"/>
      <c r="W79" s="432"/>
      <c r="X79" s="432"/>
      <c r="Y79" s="432"/>
      <c r="Z79" s="310"/>
      <c r="AA79" s="310"/>
      <c r="AB79" s="311"/>
      <c r="AC79" s="273"/>
      <c r="AD79" s="312"/>
    </row>
    <row r="80" spans="2:32" s="167" customFormat="1">
      <c r="B80" s="313" t="s">
        <v>65</v>
      </c>
      <c r="C80" s="173"/>
      <c r="D80" s="173"/>
      <c r="E80" s="173"/>
      <c r="F80" s="571">
        <f>F64+50</f>
        <v>533</v>
      </c>
      <c r="G80" s="571"/>
      <c r="H80" s="173"/>
      <c r="I80" s="539">
        <v>169.97</v>
      </c>
      <c r="J80" s="1037"/>
      <c r="K80" s="268"/>
      <c r="L80" s="572">
        <f>L64+50</f>
        <v>314</v>
      </c>
      <c r="M80" s="571"/>
      <c r="N80" s="164"/>
      <c r="O80" s="539">
        <v>55</v>
      </c>
      <c r="P80" s="540"/>
      <c r="Q80" s="298"/>
      <c r="R80" s="231"/>
    </row>
    <row r="81" spans="1:35" s="167" customFormat="1" ht="6" customHeight="1">
      <c r="B81" s="314"/>
      <c r="C81" s="168"/>
      <c r="D81" s="168"/>
      <c r="E81" s="168"/>
      <c r="F81" s="315"/>
      <c r="G81" s="315"/>
      <c r="H81" s="168"/>
      <c r="I81" s="316"/>
      <c r="J81" s="317"/>
      <c r="K81" s="268"/>
      <c r="L81" s="318"/>
      <c r="M81" s="315"/>
      <c r="N81" s="429"/>
      <c r="O81" s="316"/>
      <c r="P81" s="317"/>
      <c r="Q81" s="298"/>
      <c r="R81" s="231"/>
    </row>
    <row r="82" spans="1:35" s="167" customFormat="1">
      <c r="B82" s="314" t="s">
        <v>66</v>
      </c>
      <c r="C82" s="168"/>
      <c r="D82" s="168"/>
      <c r="E82" s="168"/>
      <c r="F82" s="534">
        <f>F64-50</f>
        <v>433</v>
      </c>
      <c r="G82" s="534"/>
      <c r="H82" s="168"/>
      <c r="I82" s="529">
        <v>154.04</v>
      </c>
      <c r="J82" s="535"/>
      <c r="K82" s="268"/>
      <c r="L82" s="566">
        <f>L64-50</f>
        <v>214</v>
      </c>
      <c r="M82" s="534"/>
      <c r="N82" s="429"/>
      <c r="O82" s="529">
        <v>45</v>
      </c>
      <c r="P82" s="533"/>
      <c r="Q82" s="298"/>
      <c r="R82" s="231"/>
      <c r="U82" s="296" t="s">
        <v>67</v>
      </c>
      <c r="V82" s="173"/>
      <c r="W82" s="173"/>
      <c r="X82" s="173"/>
      <c r="Y82" s="173"/>
      <c r="Z82" s="296"/>
      <c r="AA82" s="270"/>
      <c r="AB82" s="173"/>
      <c r="AC82" s="173"/>
      <c r="AD82" s="270"/>
    </row>
    <row r="83" spans="1:35" s="167" customFormat="1">
      <c r="B83" s="319" t="s">
        <v>68</v>
      </c>
      <c r="C83" s="273"/>
      <c r="D83" s="273"/>
      <c r="E83" s="273"/>
      <c r="F83" s="273"/>
      <c r="G83" s="273"/>
      <c r="H83" s="273"/>
      <c r="I83" s="567">
        <f>IF(+I80-I82=0,"",I80-I82)</f>
        <v>15.930000000000007</v>
      </c>
      <c r="J83" s="568"/>
      <c r="K83" s="268"/>
      <c r="L83" s="320"/>
      <c r="M83" s="273"/>
      <c r="N83" s="426"/>
      <c r="O83" s="567">
        <f>IF(+O80-O82=0,"",O80-O82)</f>
        <v>10</v>
      </c>
      <c r="P83" s="568"/>
      <c r="Q83" s="298"/>
      <c r="R83" s="231"/>
      <c r="U83" s="295" t="s">
        <v>69</v>
      </c>
      <c r="V83" s="168"/>
      <c r="W83" s="168"/>
      <c r="X83" s="168"/>
      <c r="Y83" s="168"/>
      <c r="Z83" s="295"/>
      <c r="AA83" s="168"/>
      <c r="AB83" s="168"/>
      <c r="AC83" s="168"/>
      <c r="AD83" s="172"/>
    </row>
    <row r="84" spans="1:35" s="167" customFormat="1" ht="17" thickBot="1">
      <c r="B84" s="252"/>
      <c r="C84" s="158"/>
      <c r="D84" s="158"/>
      <c r="E84" s="158"/>
      <c r="F84" s="158"/>
      <c r="G84" s="158"/>
      <c r="H84" s="158"/>
      <c r="I84" s="158"/>
      <c r="K84" s="168"/>
      <c r="L84" s="321"/>
      <c r="M84" s="261"/>
      <c r="R84" s="231"/>
      <c r="U84" s="295"/>
      <c r="V84" s="562" t="s">
        <v>59</v>
      </c>
      <c r="W84" s="563"/>
      <c r="X84" s="563"/>
      <c r="Y84" s="563"/>
      <c r="Z84" s="583">
        <f>S20</f>
        <v>84.99</v>
      </c>
      <c r="AA84" s="584"/>
      <c r="AB84" s="168"/>
      <c r="AC84" s="168"/>
      <c r="AD84" s="172"/>
    </row>
    <row r="85" spans="1:35" s="167" customFormat="1">
      <c r="B85" s="313" t="s">
        <v>70</v>
      </c>
      <c r="C85" s="173"/>
      <c r="D85" s="160"/>
      <c r="E85" s="160"/>
      <c r="F85" s="160"/>
      <c r="G85" s="160"/>
      <c r="H85" s="585">
        <f>IF(S20="","",H86+(IF(K38="A",-I38+IF(K40="A",+I40,-I40),I38+IF(K40="A",I40,-I40))))</f>
        <v>8598.6</v>
      </c>
      <c r="I85" s="585"/>
      <c r="J85" s="586"/>
      <c r="K85" s="322"/>
      <c r="L85" s="296"/>
      <c r="M85" s="173"/>
      <c r="N85" s="585">
        <f>IF(S20="","",N86+(IF(Q38="A",-O38+IF(Q40="A",+O40,-O40),O38+IF(Q40="A",O40,-O40))))</f>
        <v>8284</v>
      </c>
      <c r="O85" s="585"/>
      <c r="P85" s="586"/>
      <c r="Q85" s="323"/>
      <c r="R85" s="265"/>
      <c r="U85" s="295"/>
      <c r="V85" s="562" t="s">
        <v>71</v>
      </c>
      <c r="W85" s="563"/>
      <c r="X85" s="563"/>
      <c r="Y85" s="563"/>
      <c r="Z85" s="587">
        <v>0.32</v>
      </c>
      <c r="AA85" s="588"/>
      <c r="AB85" s="168"/>
      <c r="AC85" s="168"/>
      <c r="AD85" s="172"/>
    </row>
    <row r="86" spans="1:35" s="167" customFormat="1">
      <c r="B86" s="314" t="s">
        <v>72</v>
      </c>
      <c r="C86" s="168"/>
      <c r="D86" s="197"/>
      <c r="E86" s="197"/>
      <c r="F86" s="197"/>
      <c r="G86" s="197"/>
      <c r="H86" s="573">
        <f>S20*100</f>
        <v>8499</v>
      </c>
      <c r="I86" s="574"/>
      <c r="J86" s="575"/>
      <c r="K86" s="324"/>
      <c r="L86" s="295"/>
      <c r="M86" s="168"/>
      <c r="N86" s="573">
        <f>H86</f>
        <v>8499</v>
      </c>
      <c r="O86" s="576"/>
      <c r="P86" s="577"/>
      <c r="Q86" s="325"/>
      <c r="R86" s="231"/>
      <c r="U86" s="295"/>
      <c r="V86" s="562" t="s">
        <v>73</v>
      </c>
      <c r="W86" s="563"/>
      <c r="X86" s="563"/>
      <c r="Y86" s="563"/>
      <c r="Z86" s="578">
        <v>0.23</v>
      </c>
      <c r="AA86" s="579"/>
      <c r="AB86" s="168"/>
      <c r="AC86" s="168"/>
      <c r="AD86" s="172"/>
    </row>
    <row r="87" spans="1:35" s="167" customFormat="1">
      <c r="B87" s="314" t="s">
        <v>74</v>
      </c>
      <c r="C87" s="168"/>
      <c r="D87" s="197"/>
      <c r="E87" s="197"/>
      <c r="F87" s="197"/>
      <c r="G87" s="197"/>
      <c r="H87" s="580">
        <f>IF(G30="","",+G30)</f>
        <v>1287</v>
      </c>
      <c r="I87" s="574"/>
      <c r="J87" s="575"/>
      <c r="K87" s="324"/>
      <c r="L87" s="295"/>
      <c r="M87" s="168"/>
      <c r="N87" s="580">
        <f>+H87</f>
        <v>1287</v>
      </c>
      <c r="O87" s="576"/>
      <c r="P87" s="577"/>
      <c r="Q87" s="325"/>
      <c r="R87" s="231"/>
      <c r="U87" s="295"/>
      <c r="V87" s="562" t="s">
        <v>75</v>
      </c>
      <c r="W87" s="563"/>
      <c r="X87" s="563"/>
      <c r="Y87" s="563"/>
      <c r="Z87" s="581">
        <f>ABS(ROUND(+S20*50-(S20*100*Z85/(Z85+Z86)),2))</f>
        <v>695.37</v>
      </c>
      <c r="AA87" s="582"/>
      <c r="AB87" s="326" t="str">
        <f>IF(+S20*100/2-(S20*100*Z85/(Z85+Z86))&lt;0,"F","A")</f>
        <v>F</v>
      </c>
      <c r="AC87" s="327"/>
      <c r="AD87" s="172"/>
    </row>
    <row r="88" spans="1:35" s="167" customFormat="1">
      <c r="B88" s="314" t="s">
        <v>76</v>
      </c>
      <c r="C88" s="168"/>
      <c r="D88" s="197"/>
      <c r="E88" s="197"/>
      <c r="F88" s="197"/>
      <c r="G88" s="197"/>
      <c r="H88" s="589">
        <f>IF(H150="","",ROUND(ABS(H156-H150),2))</f>
        <v>400</v>
      </c>
      <c r="I88" s="590"/>
      <c r="J88" s="590"/>
      <c r="K88" s="154" t="s">
        <v>5</v>
      </c>
      <c r="L88" s="168"/>
      <c r="M88" s="168"/>
      <c r="N88" s="589">
        <f>IF(N150="","",ROUND(ABS(N156-N150),2))</f>
        <v>121</v>
      </c>
      <c r="O88" s="591"/>
      <c r="P88" s="591"/>
      <c r="Q88" s="154" t="str">
        <f>IF(O48="","",IF(N156-N150&lt;0,"F","A"))</f>
        <v>A</v>
      </c>
      <c r="R88" s="231"/>
      <c r="U88" s="308" t="s">
        <v>64</v>
      </c>
      <c r="V88" s="273"/>
      <c r="W88" s="273"/>
      <c r="X88" s="273"/>
      <c r="Y88" s="273"/>
      <c r="Z88" s="308"/>
      <c r="AA88" s="273"/>
      <c r="AB88" s="328"/>
      <c r="AC88" s="273"/>
      <c r="AD88" s="312"/>
    </row>
    <row r="89" spans="1:35" s="167" customFormat="1">
      <c r="B89" s="319" t="s">
        <v>77</v>
      </c>
      <c r="C89" s="273"/>
      <c r="D89" s="329"/>
      <c r="E89" s="329"/>
      <c r="F89" s="329"/>
      <c r="G89" s="329"/>
      <c r="H89" s="592">
        <f>IF(H152="","",ROUND(ABS(H158-H152),2))</f>
        <v>395.37</v>
      </c>
      <c r="I89" s="593"/>
      <c r="J89" s="594"/>
      <c r="K89" s="155" t="str">
        <f>IF(I48="","",IF(H158-H152&lt;0,"F","A"))</f>
        <v>A</v>
      </c>
      <c r="L89" s="308"/>
      <c r="M89" s="273"/>
      <c r="N89" s="592">
        <f>IF(N152="","",ROUND(ABS(N158-N152),2))</f>
        <v>124.14</v>
      </c>
      <c r="O89" s="595"/>
      <c r="P89" s="595"/>
      <c r="Q89" s="154" t="str">
        <f>IF(O48="","",IF(N158-N152&lt;0,"F","A"))</f>
        <v>A</v>
      </c>
      <c r="R89" s="231"/>
    </row>
    <row r="90" spans="1:35" s="167" customFormat="1" ht="17" thickBot="1">
      <c r="B90" s="224"/>
      <c r="D90" s="158"/>
      <c r="E90" s="158"/>
      <c r="F90" s="158"/>
      <c r="G90" s="158"/>
      <c r="H90" s="157"/>
      <c r="I90" s="435"/>
      <c r="J90" s="435"/>
      <c r="K90" s="330"/>
      <c r="N90" s="157"/>
      <c r="O90" s="434"/>
      <c r="P90" s="434"/>
      <c r="Q90" s="330"/>
    </row>
    <row r="91" spans="1:35" s="167" customFormat="1" ht="6.5" customHeight="1">
      <c r="B91" s="263"/>
      <c r="C91" s="263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</row>
    <row r="92" spans="1:35" s="167" customFormat="1" ht="6.5" customHeight="1">
      <c r="B92" s="224"/>
    </row>
    <row r="93" spans="1:35" s="167" customFormat="1" ht="16">
      <c r="A93" s="331"/>
      <c r="B93" s="596" t="s">
        <v>13</v>
      </c>
      <c r="C93" s="454"/>
      <c r="D93" s="596" t="s">
        <v>206</v>
      </c>
      <c r="E93" s="454"/>
      <c r="F93" s="453" t="s">
        <v>15</v>
      </c>
      <c r="G93" s="454"/>
      <c r="H93" s="453" t="s">
        <v>16</v>
      </c>
      <c r="I93" s="454"/>
      <c r="J93" s="453" t="s">
        <v>17</v>
      </c>
      <c r="K93" s="454"/>
      <c r="L93" s="453" t="s">
        <v>205</v>
      </c>
      <c r="M93" s="454"/>
      <c r="N93" s="453" t="s">
        <v>15</v>
      </c>
      <c r="O93" s="454"/>
      <c r="P93" s="453" t="s">
        <v>16</v>
      </c>
      <c r="Q93" s="454"/>
      <c r="R93" s="453" t="s">
        <v>17</v>
      </c>
      <c r="S93" s="454"/>
      <c r="U93" s="332" t="s">
        <v>240</v>
      </c>
      <c r="V93" s="333"/>
      <c r="W93" s="333"/>
      <c r="X93" s="333"/>
      <c r="Y93" s="334"/>
      <c r="Z93" s="334"/>
      <c r="AA93" s="334"/>
      <c r="AB93" s="334"/>
      <c r="AC93" s="334"/>
      <c r="AD93" s="334"/>
      <c r="AE93" s="334"/>
      <c r="AF93" s="335"/>
      <c r="AG93" s="335"/>
      <c r="AH93" s="335"/>
      <c r="AI93" s="168"/>
    </row>
    <row r="94" spans="1:35" s="167" customFormat="1" ht="14.25" customHeight="1">
      <c r="A94" s="336">
        <f>COUNTA(B94:C123)</f>
        <v>3</v>
      </c>
      <c r="B94" s="597" t="s">
        <v>256</v>
      </c>
      <c r="C94" s="598"/>
      <c r="D94" s="599" t="s">
        <v>257</v>
      </c>
      <c r="E94" s="600"/>
      <c r="F94" s="601">
        <v>123</v>
      </c>
      <c r="G94" s="602"/>
      <c r="H94" s="603">
        <v>1.0249999999999999</v>
      </c>
      <c r="I94" s="604"/>
      <c r="J94" s="605">
        <f>IF(B94="","",ROUND(F94*H94,3))</f>
        <v>126.075</v>
      </c>
      <c r="K94" s="606"/>
      <c r="L94" s="607"/>
      <c r="M94" s="608"/>
      <c r="N94" s="609"/>
      <c r="O94" s="610"/>
      <c r="P94" s="1038"/>
      <c r="Q94" s="1039"/>
      <c r="R94" s="613">
        <f>IF(B94="","",ROUND(N94*P94,3))</f>
        <v>0</v>
      </c>
      <c r="S94" s="614"/>
      <c r="T94" s="172"/>
      <c r="U94" s="337"/>
      <c r="V94" s="455" t="s">
        <v>241</v>
      </c>
      <c r="W94" s="455"/>
      <c r="X94" s="455"/>
      <c r="Y94" s="456">
        <f>+H89</f>
        <v>395.37</v>
      </c>
      <c r="Z94" s="457"/>
      <c r="AA94" s="442"/>
      <c r="AB94" s="442"/>
      <c r="AC94" s="338"/>
      <c r="AD94" s="338"/>
      <c r="AE94" s="339"/>
      <c r="AF94" s="335"/>
      <c r="AG94" s="335"/>
      <c r="AH94" s="335"/>
      <c r="AI94" s="168"/>
    </row>
    <row r="95" spans="1:35" s="167" customFormat="1" ht="14.25" customHeight="1">
      <c r="A95" s="336"/>
      <c r="B95" s="597" t="s">
        <v>528</v>
      </c>
      <c r="C95" s="598"/>
      <c r="D95" s="615" t="s">
        <v>257</v>
      </c>
      <c r="E95" s="616"/>
      <c r="F95" s="617">
        <v>129</v>
      </c>
      <c r="G95" s="618"/>
      <c r="H95" s="619">
        <v>1.0249999999999999</v>
      </c>
      <c r="I95" s="620"/>
      <c r="J95" s="605">
        <f t="shared" ref="J95:J103" si="0">IF(B95="","",ROUND(F95*H95,3))</f>
        <v>132.22499999999999</v>
      </c>
      <c r="K95" s="606"/>
      <c r="L95" s="621"/>
      <c r="M95" s="600"/>
      <c r="N95" s="622"/>
      <c r="O95" s="623"/>
      <c r="P95" s="624"/>
      <c r="Q95" s="625"/>
      <c r="R95" s="461">
        <f t="shared" ref="R95:R123" si="1">IF(B95="","",ROUND(N95*P95,3))</f>
        <v>0</v>
      </c>
      <c r="S95" s="462"/>
      <c r="T95" s="172"/>
      <c r="U95" s="337"/>
      <c r="V95" s="337"/>
      <c r="W95" s="337"/>
      <c r="X95" s="337"/>
      <c r="Y95" s="338"/>
      <c r="Z95" s="338"/>
      <c r="AA95" s="458" t="s">
        <v>242</v>
      </c>
      <c r="AB95" s="458"/>
      <c r="AC95" s="458"/>
      <c r="AD95" s="458"/>
      <c r="AE95" s="340"/>
      <c r="AF95" s="335"/>
      <c r="AG95" s="338"/>
      <c r="AH95" s="338"/>
      <c r="AI95" s="168"/>
    </row>
    <row r="96" spans="1:35" s="167" customFormat="1" ht="14.25" customHeight="1">
      <c r="A96" s="336"/>
      <c r="B96" s="597" t="s">
        <v>529</v>
      </c>
      <c r="C96" s="598"/>
      <c r="D96" s="615"/>
      <c r="E96" s="616"/>
      <c r="F96" s="617"/>
      <c r="G96" s="618"/>
      <c r="H96" s="624"/>
      <c r="I96" s="625"/>
      <c r="J96" s="605">
        <f t="shared" si="0"/>
        <v>0</v>
      </c>
      <c r="K96" s="606"/>
      <c r="L96" s="617"/>
      <c r="M96" s="616"/>
      <c r="N96" s="622"/>
      <c r="O96" s="623"/>
      <c r="P96" s="624"/>
      <c r="Q96" s="625"/>
      <c r="R96" s="461">
        <f t="shared" si="1"/>
        <v>0</v>
      </c>
      <c r="S96" s="462"/>
      <c r="T96" s="172"/>
      <c r="U96" s="337"/>
      <c r="V96" s="337"/>
      <c r="W96" s="337"/>
      <c r="X96" s="337"/>
      <c r="Y96" s="338"/>
      <c r="Z96" s="338"/>
      <c r="AA96" s="630" t="s">
        <v>243</v>
      </c>
      <c r="AB96" s="630"/>
      <c r="AC96" s="630" t="s">
        <v>244</v>
      </c>
      <c r="AD96" s="630"/>
      <c r="AE96" s="340"/>
      <c r="AF96" s="335"/>
      <c r="AG96" s="445" t="s">
        <v>250</v>
      </c>
      <c r="AH96" s="446"/>
      <c r="AI96" s="168"/>
    </row>
    <row r="97" spans="1:35" s="167" customFormat="1" ht="14.25" customHeight="1">
      <c r="A97" s="336"/>
      <c r="B97" s="597"/>
      <c r="C97" s="598"/>
      <c r="D97" s="626"/>
      <c r="E97" s="627"/>
      <c r="F97" s="628"/>
      <c r="G97" s="629"/>
      <c r="H97" s="624"/>
      <c r="I97" s="625"/>
      <c r="J97" s="605" t="str">
        <f t="shared" si="0"/>
        <v/>
      </c>
      <c r="K97" s="606"/>
      <c r="L97" s="628"/>
      <c r="M97" s="627"/>
      <c r="N97" s="622"/>
      <c r="O97" s="623"/>
      <c r="P97" s="624"/>
      <c r="Q97" s="625"/>
      <c r="R97" s="461" t="str">
        <f t="shared" si="1"/>
        <v/>
      </c>
      <c r="S97" s="462"/>
      <c r="T97" s="172"/>
      <c r="U97" s="337"/>
      <c r="V97" s="337"/>
      <c r="W97" s="337"/>
      <c r="X97" s="337"/>
      <c r="Y97" s="338"/>
      <c r="Z97" s="338"/>
      <c r="AA97" s="631">
        <v>0</v>
      </c>
      <c r="AB97" s="632"/>
      <c r="AC97" s="633">
        <v>45</v>
      </c>
      <c r="AD97" s="632"/>
      <c r="AE97" s="340"/>
      <c r="AF97" s="335"/>
      <c r="AG97" s="443">
        <f>+Y94</f>
        <v>395.37</v>
      </c>
      <c r="AH97" s="444"/>
      <c r="AI97" s="168"/>
    </row>
    <row r="98" spans="1:35" s="167" customFormat="1" ht="14.25" customHeight="1">
      <c r="A98" s="336"/>
      <c r="B98" s="597"/>
      <c r="C98" s="598"/>
      <c r="D98" s="626"/>
      <c r="E98" s="627"/>
      <c r="F98" s="628"/>
      <c r="G98" s="629"/>
      <c r="H98" s="624"/>
      <c r="I98" s="625"/>
      <c r="J98" s="605" t="str">
        <f t="shared" si="0"/>
        <v/>
      </c>
      <c r="K98" s="606"/>
      <c r="L98" s="628"/>
      <c r="M98" s="627"/>
      <c r="N98" s="622"/>
      <c r="O98" s="623"/>
      <c r="P98" s="624"/>
      <c r="Q98" s="625"/>
      <c r="R98" s="461" t="str">
        <f t="shared" si="1"/>
        <v/>
      </c>
      <c r="S98" s="462"/>
      <c r="T98" s="172"/>
      <c r="U98" s="337"/>
      <c r="V98" s="463" t="s">
        <v>245</v>
      </c>
      <c r="W98" s="463"/>
      <c r="X98" s="464"/>
      <c r="Y98" s="465">
        <v>10</v>
      </c>
      <c r="Z98" s="466"/>
      <c r="AA98" s="438">
        <v>80</v>
      </c>
      <c r="AB98" s="439"/>
      <c r="AC98" s="438">
        <v>98</v>
      </c>
      <c r="AD98" s="439"/>
      <c r="AE98" s="340"/>
      <c r="AF98" s="335"/>
      <c r="AG98" s="459">
        <f>(((AC98-AA98)/(AC$97-AA$97))*(Y$94-AA$97))+AA98</f>
        <v>238.14800000000002</v>
      </c>
      <c r="AH98" s="460"/>
      <c r="AI98" s="168"/>
    </row>
    <row r="99" spans="1:35" s="167" customFormat="1" ht="14.25" customHeight="1">
      <c r="A99" s="336"/>
      <c r="B99" s="597"/>
      <c r="C99" s="598"/>
      <c r="D99" s="626"/>
      <c r="E99" s="627"/>
      <c r="F99" s="628"/>
      <c r="G99" s="629"/>
      <c r="H99" s="624"/>
      <c r="I99" s="625"/>
      <c r="J99" s="605" t="str">
        <f t="shared" si="0"/>
        <v/>
      </c>
      <c r="K99" s="606"/>
      <c r="L99" s="628"/>
      <c r="M99" s="627"/>
      <c r="N99" s="622"/>
      <c r="O99" s="623"/>
      <c r="P99" s="624"/>
      <c r="Q99" s="625"/>
      <c r="R99" s="461" t="str">
        <f t="shared" si="1"/>
        <v/>
      </c>
      <c r="S99" s="462"/>
      <c r="T99" s="172"/>
      <c r="U99" s="337"/>
      <c r="V99" s="463" t="s">
        <v>246</v>
      </c>
      <c r="W99" s="463"/>
      <c r="X99" s="636"/>
      <c r="Y99" s="465">
        <v>5</v>
      </c>
      <c r="Z99" s="466"/>
      <c r="AA99" s="634">
        <v>66</v>
      </c>
      <c r="AB99" s="635"/>
      <c r="AC99" s="634">
        <v>72</v>
      </c>
      <c r="AD99" s="635"/>
      <c r="AE99" s="340"/>
      <c r="AF99" s="335"/>
      <c r="AG99" s="459">
        <f>(((AC99-AA99)/(AC$97-AA$97))*(Y$94-AA$97))+AA99</f>
        <v>118.71600000000001</v>
      </c>
      <c r="AH99" s="460"/>
      <c r="AI99" s="168"/>
    </row>
    <row r="100" spans="1:35" s="167" customFormat="1" ht="14.25" customHeight="1">
      <c r="A100" s="336"/>
      <c r="B100" s="597"/>
      <c r="C100" s="598"/>
      <c r="D100" s="626"/>
      <c r="E100" s="627"/>
      <c r="F100" s="628"/>
      <c r="G100" s="629"/>
      <c r="H100" s="624"/>
      <c r="I100" s="625"/>
      <c r="J100" s="605" t="str">
        <f t="shared" si="0"/>
        <v/>
      </c>
      <c r="K100" s="606"/>
      <c r="L100" s="628"/>
      <c r="M100" s="627"/>
      <c r="N100" s="622"/>
      <c r="O100" s="623"/>
      <c r="P100" s="624"/>
      <c r="Q100" s="625"/>
      <c r="R100" s="461" t="str">
        <f t="shared" si="1"/>
        <v/>
      </c>
      <c r="S100" s="462"/>
      <c r="T100" s="172"/>
      <c r="U100" s="337"/>
      <c r="V100" s="337"/>
      <c r="W100" s="337"/>
      <c r="X100" s="337"/>
      <c r="Y100" s="338"/>
      <c r="Z100" s="338"/>
      <c r="AA100" s="338"/>
      <c r="AB100" s="338"/>
      <c r="AC100" s="338"/>
      <c r="AD100" s="338"/>
      <c r="AE100" s="340"/>
      <c r="AF100" s="335"/>
      <c r="AG100" s="338"/>
      <c r="AH100" s="338"/>
      <c r="AI100" s="168"/>
    </row>
    <row r="101" spans="1:35" s="167" customFormat="1" ht="14.25" customHeight="1">
      <c r="A101" s="336"/>
      <c r="B101" s="597"/>
      <c r="C101" s="598"/>
      <c r="D101" s="626"/>
      <c r="E101" s="627"/>
      <c r="F101" s="628"/>
      <c r="G101" s="629"/>
      <c r="H101" s="624"/>
      <c r="I101" s="625"/>
      <c r="J101" s="605" t="str">
        <f t="shared" si="0"/>
        <v/>
      </c>
      <c r="K101" s="606"/>
      <c r="L101" s="628"/>
      <c r="M101" s="627"/>
      <c r="N101" s="622"/>
      <c r="O101" s="623"/>
      <c r="P101" s="624"/>
      <c r="Q101" s="625"/>
      <c r="R101" s="461" t="str">
        <f t="shared" si="1"/>
        <v/>
      </c>
      <c r="S101" s="462"/>
      <c r="T101" s="172"/>
      <c r="U101" s="337"/>
      <c r="V101" s="455" t="s">
        <v>247</v>
      </c>
      <c r="W101" s="455"/>
      <c r="X101" s="455"/>
      <c r="Y101" s="637">
        <v>6</v>
      </c>
      <c r="Z101" s="638"/>
      <c r="AA101" s="338"/>
      <c r="AB101" s="639">
        <f>((AG98-AG99)/(Y98-Y99))*(Y$101-Y99)+AG99</f>
        <v>142.60240000000002</v>
      </c>
      <c r="AC101" s="640"/>
      <c r="AD101" s="341" t="s">
        <v>248</v>
      </c>
      <c r="AE101" s="340"/>
      <c r="AF101" s="335"/>
      <c r="AG101" s="338"/>
      <c r="AH101" s="338"/>
      <c r="AI101" s="168"/>
    </row>
    <row r="102" spans="1:35" s="167" customFormat="1" ht="14.25" customHeight="1">
      <c r="A102" s="336"/>
      <c r="B102" s="597"/>
      <c r="C102" s="598"/>
      <c r="D102" s="626"/>
      <c r="E102" s="627"/>
      <c r="F102" s="628"/>
      <c r="G102" s="629"/>
      <c r="H102" s="624"/>
      <c r="I102" s="625"/>
      <c r="J102" s="605" t="str">
        <f t="shared" si="0"/>
        <v/>
      </c>
      <c r="K102" s="606"/>
      <c r="L102" s="628"/>
      <c r="M102" s="627"/>
      <c r="N102" s="622"/>
      <c r="O102" s="623"/>
      <c r="P102" s="624"/>
      <c r="Q102" s="625"/>
      <c r="R102" s="461" t="str">
        <f t="shared" si="1"/>
        <v/>
      </c>
      <c r="S102" s="462"/>
      <c r="U102" s="342"/>
      <c r="V102" s="334"/>
      <c r="W102" s="334"/>
      <c r="X102" s="334"/>
      <c r="Y102" s="334"/>
      <c r="Z102" s="334"/>
      <c r="AA102" s="334"/>
      <c r="AB102" s="334"/>
      <c r="AC102" s="334"/>
      <c r="AD102" s="334"/>
      <c r="AE102" s="343"/>
      <c r="AF102" s="335"/>
      <c r="AG102" s="338"/>
      <c r="AH102" s="338"/>
      <c r="AI102" s="168"/>
    </row>
    <row r="103" spans="1:35" s="167" customFormat="1" ht="14.25" customHeight="1">
      <c r="A103" s="336"/>
      <c r="B103" s="597"/>
      <c r="C103" s="598"/>
      <c r="D103" s="626"/>
      <c r="E103" s="627"/>
      <c r="F103" s="628"/>
      <c r="G103" s="629"/>
      <c r="H103" s="641"/>
      <c r="I103" s="642"/>
      <c r="J103" s="605" t="str">
        <f t="shared" si="0"/>
        <v/>
      </c>
      <c r="K103" s="606"/>
      <c r="L103" s="628"/>
      <c r="M103" s="627"/>
      <c r="N103" s="622"/>
      <c r="O103" s="623"/>
      <c r="P103" s="641"/>
      <c r="Q103" s="642"/>
      <c r="R103" s="461" t="str">
        <f t="shared" si="1"/>
        <v/>
      </c>
      <c r="S103" s="462"/>
      <c r="U103" s="344"/>
      <c r="V103" s="344"/>
      <c r="W103" s="344"/>
      <c r="X103" s="344"/>
      <c r="Y103" s="344"/>
      <c r="Z103" s="344"/>
      <c r="AA103" s="344"/>
      <c r="AB103" s="344"/>
      <c r="AC103" s="344"/>
      <c r="AD103" s="344"/>
      <c r="AE103" s="344"/>
      <c r="AF103" s="335"/>
      <c r="AG103" s="335"/>
      <c r="AH103" s="335"/>
      <c r="AI103" s="168"/>
    </row>
    <row r="104" spans="1:35" s="167" customFormat="1" ht="14.25" customHeight="1">
      <c r="A104" s="336"/>
      <c r="B104" s="597"/>
      <c r="C104" s="598"/>
      <c r="D104" s="626"/>
      <c r="E104" s="627"/>
      <c r="F104" s="644"/>
      <c r="G104" s="644"/>
      <c r="H104" s="624"/>
      <c r="I104" s="625"/>
      <c r="J104" s="605" t="str">
        <f t="shared" ref="J104:J122" si="2">IF(B104="","",ROUND(F104*H104,3))</f>
        <v/>
      </c>
      <c r="K104" s="606"/>
      <c r="L104" s="628"/>
      <c r="M104" s="627"/>
      <c r="N104" s="645"/>
      <c r="O104" s="646"/>
      <c r="P104" s="624"/>
      <c r="Q104" s="625"/>
      <c r="R104" s="647" t="str">
        <f t="shared" si="1"/>
        <v/>
      </c>
      <c r="S104" s="648"/>
      <c r="U104" s="334"/>
      <c r="V104" s="334"/>
      <c r="W104" s="334"/>
      <c r="X104" s="334"/>
      <c r="Y104" s="334"/>
      <c r="Z104" s="334"/>
      <c r="AA104" s="334"/>
      <c r="AB104" s="334"/>
      <c r="AC104" s="334"/>
      <c r="AD104" s="334"/>
      <c r="AE104" s="334"/>
      <c r="AF104" s="643"/>
      <c r="AG104" s="442"/>
      <c r="AH104" s="338"/>
    </row>
    <row r="105" spans="1:35" s="167" customFormat="1" ht="14.25" customHeight="1">
      <c r="A105" s="336"/>
      <c r="B105" s="597"/>
      <c r="C105" s="598"/>
      <c r="D105" s="626"/>
      <c r="E105" s="627"/>
      <c r="F105" s="644"/>
      <c r="G105" s="644"/>
      <c r="H105" s="624"/>
      <c r="I105" s="625"/>
      <c r="J105" s="605" t="str">
        <f t="shared" si="2"/>
        <v/>
      </c>
      <c r="K105" s="606"/>
      <c r="L105" s="628"/>
      <c r="M105" s="627"/>
      <c r="N105" s="645"/>
      <c r="O105" s="646"/>
      <c r="P105" s="624"/>
      <c r="Q105" s="625"/>
      <c r="R105" s="461" t="str">
        <f t="shared" si="1"/>
        <v/>
      </c>
      <c r="S105" s="462"/>
      <c r="T105" s="172"/>
      <c r="U105" s="345"/>
      <c r="V105" s="455" t="s">
        <v>249</v>
      </c>
      <c r="W105" s="455"/>
      <c r="X105" s="455"/>
      <c r="Y105" s="456">
        <f>+N89</f>
        <v>124.14</v>
      </c>
      <c r="Z105" s="457"/>
      <c r="AA105" s="338"/>
      <c r="AB105" s="338"/>
      <c r="AC105" s="338"/>
      <c r="AD105" s="338"/>
      <c r="AE105" s="340"/>
      <c r="AF105" s="442"/>
      <c r="AG105" s="442"/>
      <c r="AH105" s="338"/>
    </row>
    <row r="106" spans="1:35" s="167" customFormat="1" ht="14.25" customHeight="1">
      <c r="A106" s="336"/>
      <c r="B106" s="597"/>
      <c r="C106" s="598"/>
      <c r="D106" s="626"/>
      <c r="E106" s="627"/>
      <c r="F106" s="644"/>
      <c r="G106" s="649"/>
      <c r="H106" s="624"/>
      <c r="I106" s="625"/>
      <c r="J106" s="605" t="str">
        <f t="shared" si="2"/>
        <v/>
      </c>
      <c r="K106" s="606"/>
      <c r="L106" s="628"/>
      <c r="M106" s="627"/>
      <c r="N106" s="645"/>
      <c r="O106" s="646"/>
      <c r="P106" s="624"/>
      <c r="Q106" s="625"/>
      <c r="R106" s="461" t="str">
        <f t="shared" si="1"/>
        <v/>
      </c>
      <c r="S106" s="462"/>
      <c r="T106" s="172"/>
      <c r="U106" s="338"/>
      <c r="V106" s="338"/>
      <c r="W106" s="338"/>
      <c r="X106" s="338"/>
      <c r="Y106" s="338"/>
      <c r="Z106" s="338"/>
      <c r="AA106" s="458" t="s">
        <v>242</v>
      </c>
      <c r="AB106" s="458"/>
      <c r="AC106" s="458"/>
      <c r="AD106" s="650"/>
      <c r="AE106" s="340"/>
      <c r="AF106" s="442"/>
      <c r="AG106" s="442"/>
      <c r="AH106" s="338"/>
    </row>
    <row r="107" spans="1:35" s="167" customFormat="1" ht="14.25" customHeight="1">
      <c r="A107" s="336"/>
      <c r="B107" s="597"/>
      <c r="C107" s="598"/>
      <c r="D107" s="626"/>
      <c r="E107" s="627"/>
      <c r="F107" s="644"/>
      <c r="G107" s="649"/>
      <c r="H107" s="624"/>
      <c r="I107" s="625"/>
      <c r="J107" s="605" t="str">
        <f t="shared" si="2"/>
        <v/>
      </c>
      <c r="K107" s="606"/>
      <c r="L107" s="628"/>
      <c r="M107" s="627"/>
      <c r="N107" s="645"/>
      <c r="O107" s="646"/>
      <c r="P107" s="624"/>
      <c r="Q107" s="625"/>
      <c r="R107" s="461" t="str">
        <f t="shared" si="1"/>
        <v/>
      </c>
      <c r="S107" s="462"/>
      <c r="T107" s="172"/>
      <c r="U107" s="338"/>
      <c r="V107" s="338"/>
      <c r="W107" s="338"/>
      <c r="X107" s="338"/>
      <c r="Y107" s="338"/>
      <c r="Z107" s="338"/>
      <c r="AA107" s="630" t="s">
        <v>243</v>
      </c>
      <c r="AB107" s="651"/>
      <c r="AC107" s="652" t="s">
        <v>244</v>
      </c>
      <c r="AD107" s="653"/>
      <c r="AE107" s="340"/>
      <c r="AF107" s="338"/>
      <c r="AG107" s="445" t="s">
        <v>250</v>
      </c>
      <c r="AH107" s="446"/>
    </row>
    <row r="108" spans="1:35" s="167" customFormat="1" ht="14.25" customHeight="1">
      <c r="A108" s="336"/>
      <c r="B108" s="597"/>
      <c r="C108" s="598"/>
      <c r="D108" s="626"/>
      <c r="E108" s="627"/>
      <c r="F108" s="628"/>
      <c r="G108" s="629"/>
      <c r="H108" s="624"/>
      <c r="I108" s="625"/>
      <c r="J108" s="605" t="str">
        <f t="shared" si="2"/>
        <v/>
      </c>
      <c r="K108" s="606"/>
      <c r="L108" s="628"/>
      <c r="M108" s="627"/>
      <c r="N108" s="645"/>
      <c r="O108" s="646"/>
      <c r="P108" s="624"/>
      <c r="Q108" s="625"/>
      <c r="R108" s="461" t="str">
        <f t="shared" si="1"/>
        <v/>
      </c>
      <c r="S108" s="462"/>
      <c r="T108" s="172"/>
      <c r="U108" s="338"/>
      <c r="V108" s="338"/>
      <c r="W108" s="338"/>
      <c r="X108" s="338"/>
      <c r="Y108" s="338"/>
      <c r="Z108" s="338"/>
      <c r="AA108" s="631">
        <v>100</v>
      </c>
      <c r="AB108" s="632"/>
      <c r="AC108" s="631">
        <v>150</v>
      </c>
      <c r="AD108" s="632"/>
      <c r="AE108" s="346"/>
      <c r="AF108" s="338"/>
      <c r="AG108" s="443">
        <f>+Y105</f>
        <v>124.14</v>
      </c>
      <c r="AH108" s="444"/>
    </row>
    <row r="109" spans="1:35" s="167" customFormat="1" ht="14.25" customHeight="1">
      <c r="A109" s="336"/>
      <c r="B109" s="597"/>
      <c r="C109" s="598"/>
      <c r="D109" s="626"/>
      <c r="E109" s="627"/>
      <c r="F109" s="644"/>
      <c r="G109" s="649"/>
      <c r="H109" s="624"/>
      <c r="I109" s="625"/>
      <c r="J109" s="605" t="str">
        <f t="shared" si="2"/>
        <v/>
      </c>
      <c r="K109" s="606"/>
      <c r="L109" s="628"/>
      <c r="M109" s="627"/>
      <c r="N109" s="645"/>
      <c r="O109" s="646"/>
      <c r="P109" s="624"/>
      <c r="Q109" s="625"/>
      <c r="R109" s="461" t="str">
        <f t="shared" si="1"/>
        <v/>
      </c>
      <c r="S109" s="462"/>
      <c r="T109" s="172"/>
      <c r="U109" s="338"/>
      <c r="V109" s="463" t="s">
        <v>245</v>
      </c>
      <c r="W109" s="463"/>
      <c r="X109" s="464"/>
      <c r="Y109" s="465">
        <v>12</v>
      </c>
      <c r="Z109" s="656"/>
      <c r="AA109" s="657">
        <v>22</v>
      </c>
      <c r="AB109" s="658"/>
      <c r="AC109" s="657">
        <v>44</v>
      </c>
      <c r="AD109" s="658"/>
      <c r="AE109" s="346"/>
      <c r="AF109" s="338"/>
      <c r="AG109" s="459">
        <f>(((AC109-AA109)/(AC$108-AA$108))*(Y$105-AA$108))+AA109</f>
        <v>32.621600000000001</v>
      </c>
      <c r="AH109" s="460"/>
    </row>
    <row r="110" spans="1:35" s="167" customFormat="1" ht="14.25" customHeight="1">
      <c r="A110" s="336"/>
      <c r="B110" s="597"/>
      <c r="C110" s="598"/>
      <c r="D110" s="626"/>
      <c r="E110" s="627"/>
      <c r="F110" s="644"/>
      <c r="G110" s="649"/>
      <c r="H110" s="624"/>
      <c r="I110" s="625"/>
      <c r="J110" s="605" t="str">
        <f t="shared" si="2"/>
        <v/>
      </c>
      <c r="K110" s="606"/>
      <c r="L110" s="628"/>
      <c r="M110" s="627"/>
      <c r="N110" s="645"/>
      <c r="O110" s="646"/>
      <c r="P110" s="624"/>
      <c r="Q110" s="625"/>
      <c r="R110" s="461" t="str">
        <f t="shared" si="1"/>
        <v/>
      </c>
      <c r="S110" s="462"/>
      <c r="T110" s="172"/>
      <c r="U110" s="338"/>
      <c r="V110" s="463" t="s">
        <v>246</v>
      </c>
      <c r="W110" s="463"/>
      <c r="X110" s="464"/>
      <c r="Y110" s="465">
        <v>4</v>
      </c>
      <c r="Z110" s="466"/>
      <c r="AA110" s="657">
        <v>12</v>
      </c>
      <c r="AB110" s="659"/>
      <c r="AC110" s="657">
        <v>15</v>
      </c>
      <c r="AD110" s="658"/>
      <c r="AE110" s="346"/>
      <c r="AF110" s="338"/>
      <c r="AG110" s="459">
        <f>(((AC110-AA110)/(AC$108-AA$108))*(Y$105-AA$108))+AA110</f>
        <v>13.448399999999999</v>
      </c>
      <c r="AH110" s="460"/>
    </row>
    <row r="111" spans="1:35" s="167" customFormat="1" ht="14.25" customHeight="1">
      <c r="A111" s="336"/>
      <c r="B111" s="654"/>
      <c r="C111" s="655"/>
      <c r="D111" s="626"/>
      <c r="E111" s="627"/>
      <c r="F111" s="644"/>
      <c r="G111" s="649"/>
      <c r="H111" s="624"/>
      <c r="I111" s="625"/>
      <c r="J111" s="605" t="str">
        <f t="shared" si="2"/>
        <v/>
      </c>
      <c r="K111" s="606"/>
      <c r="L111" s="628"/>
      <c r="M111" s="627"/>
      <c r="N111" s="645"/>
      <c r="O111" s="646"/>
      <c r="P111" s="624"/>
      <c r="Q111" s="625"/>
      <c r="R111" s="461" t="str">
        <f t="shared" si="1"/>
        <v/>
      </c>
      <c r="S111" s="462"/>
      <c r="T111" s="172"/>
      <c r="U111" s="338"/>
      <c r="V111" s="337"/>
      <c r="W111" s="337"/>
      <c r="X111" s="337"/>
      <c r="Y111" s="338"/>
      <c r="Z111" s="338"/>
      <c r="AA111" s="338"/>
      <c r="AB111" s="338"/>
      <c r="AC111" s="338"/>
      <c r="AD111" s="344"/>
      <c r="AE111" s="340"/>
      <c r="AF111" s="338"/>
      <c r="AG111" s="338"/>
      <c r="AH111" s="338"/>
    </row>
    <row r="112" spans="1:35" s="167" customFormat="1" ht="14.25" customHeight="1">
      <c r="A112" s="172"/>
      <c r="B112" s="654"/>
      <c r="C112" s="655"/>
      <c r="D112" s="626"/>
      <c r="E112" s="627"/>
      <c r="F112" s="644"/>
      <c r="G112" s="649"/>
      <c r="H112" s="641"/>
      <c r="I112" s="642"/>
      <c r="J112" s="605" t="str">
        <f t="shared" si="2"/>
        <v/>
      </c>
      <c r="K112" s="606"/>
      <c r="L112" s="628"/>
      <c r="M112" s="627"/>
      <c r="N112" s="645"/>
      <c r="O112" s="646"/>
      <c r="P112" s="641"/>
      <c r="Q112" s="642"/>
      <c r="R112" s="461" t="str">
        <f t="shared" si="1"/>
        <v/>
      </c>
      <c r="S112" s="462"/>
      <c r="U112" s="347"/>
      <c r="V112" s="455" t="s">
        <v>247</v>
      </c>
      <c r="W112" s="455"/>
      <c r="X112" s="455"/>
      <c r="Y112" s="637">
        <v>8</v>
      </c>
      <c r="Z112" s="638"/>
      <c r="AA112" s="338"/>
      <c r="AB112" s="660">
        <f>((AG109-AG110)/(Y109-Y110))*(Y$112-Y110)+AG110</f>
        <v>23.035</v>
      </c>
      <c r="AC112" s="661"/>
      <c r="AD112" s="341" t="s">
        <v>248</v>
      </c>
      <c r="AE112" s="340"/>
      <c r="AF112" s="338"/>
      <c r="AG112" s="338"/>
      <c r="AH112" s="338"/>
    </row>
    <row r="113" spans="1:42" s="167" customFormat="1" ht="14.25" customHeight="1">
      <c r="A113" s="172"/>
      <c r="B113" s="654"/>
      <c r="C113" s="655"/>
      <c r="D113" s="626"/>
      <c r="E113" s="627"/>
      <c r="F113" s="644"/>
      <c r="G113" s="649"/>
      <c r="H113" s="641"/>
      <c r="I113" s="642"/>
      <c r="J113" s="605" t="str">
        <f t="shared" si="2"/>
        <v/>
      </c>
      <c r="K113" s="606"/>
      <c r="L113" s="662"/>
      <c r="M113" s="663"/>
      <c r="N113" s="645"/>
      <c r="O113" s="646"/>
      <c r="P113" s="641"/>
      <c r="Q113" s="642"/>
      <c r="R113" s="461" t="str">
        <f t="shared" si="1"/>
        <v/>
      </c>
      <c r="S113" s="462"/>
      <c r="U113" s="342"/>
      <c r="V113" s="334"/>
      <c r="W113" s="334"/>
      <c r="X113" s="334"/>
      <c r="Y113" s="334"/>
      <c r="Z113" s="334"/>
      <c r="AA113" s="334"/>
      <c r="AB113" s="334"/>
      <c r="AC113" s="334"/>
      <c r="AD113" s="334"/>
      <c r="AE113" s="343"/>
      <c r="AF113" s="338"/>
      <c r="AG113" s="338"/>
      <c r="AH113" s="338"/>
    </row>
    <row r="114" spans="1:42" s="167" customFormat="1" ht="14.25" customHeight="1">
      <c r="A114" s="172"/>
      <c r="B114" s="654"/>
      <c r="C114" s="655"/>
      <c r="D114" s="626"/>
      <c r="E114" s="627"/>
      <c r="F114" s="644"/>
      <c r="G114" s="649"/>
      <c r="H114" s="641"/>
      <c r="I114" s="642"/>
      <c r="J114" s="605" t="str">
        <f t="shared" si="2"/>
        <v/>
      </c>
      <c r="K114" s="606"/>
      <c r="L114" s="662"/>
      <c r="M114" s="663"/>
      <c r="N114" s="645"/>
      <c r="O114" s="646"/>
      <c r="P114" s="641"/>
      <c r="Q114" s="642"/>
      <c r="R114" s="461" t="str">
        <f t="shared" si="1"/>
        <v/>
      </c>
      <c r="S114" s="462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68"/>
      <c r="AE114" s="168"/>
      <c r="AF114" s="168"/>
      <c r="AG114" s="168"/>
      <c r="AH114" s="168"/>
      <c r="AI114" s="168"/>
    </row>
    <row r="115" spans="1:42" s="167" customFormat="1" ht="14.25" customHeight="1">
      <c r="A115" s="172"/>
      <c r="B115" s="654"/>
      <c r="C115" s="655"/>
      <c r="D115" s="626"/>
      <c r="E115" s="627"/>
      <c r="F115" s="644"/>
      <c r="G115" s="649"/>
      <c r="H115" s="641"/>
      <c r="I115" s="642"/>
      <c r="J115" s="605" t="str">
        <f t="shared" si="2"/>
        <v/>
      </c>
      <c r="K115" s="606"/>
      <c r="L115" s="662"/>
      <c r="M115" s="663"/>
      <c r="N115" s="622"/>
      <c r="O115" s="664"/>
      <c r="P115" s="641"/>
      <c r="Q115" s="642"/>
      <c r="R115" s="461" t="str">
        <f t="shared" si="1"/>
        <v/>
      </c>
      <c r="S115" s="462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68"/>
      <c r="AE115" s="168"/>
      <c r="AF115" s="168"/>
      <c r="AG115" s="168"/>
      <c r="AH115" s="168"/>
      <c r="AI115" s="168"/>
    </row>
    <row r="116" spans="1:42" s="167" customFormat="1" ht="14.25" customHeight="1">
      <c r="A116" s="172"/>
      <c r="B116" s="654"/>
      <c r="C116" s="655"/>
      <c r="D116" s="626"/>
      <c r="E116" s="627"/>
      <c r="F116" s="644"/>
      <c r="G116" s="649"/>
      <c r="H116" s="641"/>
      <c r="I116" s="642"/>
      <c r="J116" s="605" t="str">
        <f t="shared" si="2"/>
        <v/>
      </c>
      <c r="K116" s="606"/>
      <c r="L116" s="662"/>
      <c r="M116" s="663"/>
      <c r="N116" s="645"/>
      <c r="O116" s="646"/>
      <c r="P116" s="641"/>
      <c r="Q116" s="642"/>
      <c r="R116" s="461" t="str">
        <f t="shared" si="1"/>
        <v/>
      </c>
      <c r="S116" s="462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68"/>
      <c r="AE116" s="168"/>
      <c r="AF116" s="168"/>
      <c r="AG116" s="168"/>
      <c r="AH116" s="168"/>
      <c r="AI116" s="168"/>
    </row>
    <row r="117" spans="1:42" s="167" customFormat="1" ht="14.25" customHeight="1">
      <c r="A117" s="172"/>
      <c r="B117" s="654"/>
      <c r="C117" s="655"/>
      <c r="D117" s="626"/>
      <c r="E117" s="627"/>
      <c r="F117" s="644"/>
      <c r="G117" s="649"/>
      <c r="H117" s="641"/>
      <c r="I117" s="642"/>
      <c r="J117" s="605" t="str">
        <f t="shared" si="2"/>
        <v/>
      </c>
      <c r="K117" s="606"/>
      <c r="L117" s="662"/>
      <c r="M117" s="663"/>
      <c r="N117" s="645"/>
      <c r="O117" s="646"/>
      <c r="P117" s="641"/>
      <c r="Q117" s="642"/>
      <c r="R117" s="461" t="str">
        <f t="shared" si="1"/>
        <v/>
      </c>
      <c r="S117" s="462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68"/>
      <c r="AE117" s="168"/>
      <c r="AF117" s="168"/>
      <c r="AG117" s="168"/>
      <c r="AH117" s="168"/>
      <c r="AI117" s="168"/>
    </row>
    <row r="118" spans="1:42" s="167" customFormat="1" ht="14.25" customHeight="1">
      <c r="A118" s="172"/>
      <c r="B118" s="654"/>
      <c r="C118" s="655"/>
      <c r="D118" s="626"/>
      <c r="E118" s="627"/>
      <c r="F118" s="644"/>
      <c r="G118" s="649"/>
      <c r="H118" s="641"/>
      <c r="I118" s="642"/>
      <c r="J118" s="605" t="str">
        <f t="shared" si="2"/>
        <v/>
      </c>
      <c r="K118" s="606"/>
      <c r="L118" s="662"/>
      <c r="M118" s="663"/>
      <c r="N118" s="645"/>
      <c r="O118" s="646"/>
      <c r="P118" s="641"/>
      <c r="Q118" s="642"/>
      <c r="R118" s="461" t="str">
        <f t="shared" si="1"/>
        <v/>
      </c>
      <c r="S118" s="462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  <c r="AF118" s="168"/>
      <c r="AG118" s="168"/>
      <c r="AH118" s="168"/>
      <c r="AI118" s="168"/>
    </row>
    <row r="119" spans="1:42" s="167" customFormat="1" ht="14.25" customHeight="1">
      <c r="A119" s="172"/>
      <c r="B119" s="654"/>
      <c r="C119" s="655"/>
      <c r="D119" s="626"/>
      <c r="E119" s="627"/>
      <c r="F119" s="645"/>
      <c r="G119" s="665"/>
      <c r="H119" s="641"/>
      <c r="I119" s="642"/>
      <c r="J119" s="605" t="str">
        <f t="shared" si="2"/>
        <v/>
      </c>
      <c r="K119" s="606"/>
      <c r="L119" s="662"/>
      <c r="M119" s="663"/>
      <c r="N119" s="645"/>
      <c r="O119" s="646"/>
      <c r="P119" s="641"/>
      <c r="Q119" s="642"/>
      <c r="R119" s="461" t="str">
        <f t="shared" si="1"/>
        <v/>
      </c>
      <c r="S119" s="462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68"/>
      <c r="AE119" s="168"/>
      <c r="AF119" s="168"/>
      <c r="AG119" s="168"/>
      <c r="AH119" s="168"/>
      <c r="AI119" s="168"/>
    </row>
    <row r="120" spans="1:42" s="167" customFormat="1" ht="14.25" customHeight="1">
      <c r="A120" s="172"/>
      <c r="B120" s="654"/>
      <c r="C120" s="655"/>
      <c r="D120" s="626"/>
      <c r="E120" s="627"/>
      <c r="F120" s="645"/>
      <c r="G120" s="665"/>
      <c r="H120" s="641"/>
      <c r="I120" s="642"/>
      <c r="J120" s="605" t="str">
        <f t="shared" si="2"/>
        <v/>
      </c>
      <c r="K120" s="606"/>
      <c r="L120" s="662"/>
      <c r="M120" s="663"/>
      <c r="N120" s="645"/>
      <c r="O120" s="646"/>
      <c r="P120" s="641"/>
      <c r="Q120" s="642"/>
      <c r="R120" s="461" t="str">
        <f t="shared" si="1"/>
        <v/>
      </c>
      <c r="S120" s="462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</row>
    <row r="121" spans="1:42" s="167" customFormat="1" ht="14.25" customHeight="1">
      <c r="A121" s="172"/>
      <c r="B121" s="654"/>
      <c r="C121" s="655"/>
      <c r="D121" s="626"/>
      <c r="E121" s="627"/>
      <c r="F121" s="645"/>
      <c r="G121" s="665"/>
      <c r="H121" s="641"/>
      <c r="I121" s="642"/>
      <c r="J121" s="605" t="str">
        <f t="shared" si="2"/>
        <v/>
      </c>
      <c r="K121" s="606"/>
      <c r="L121" s="662"/>
      <c r="M121" s="663"/>
      <c r="N121" s="645"/>
      <c r="O121" s="646"/>
      <c r="P121" s="641"/>
      <c r="Q121" s="642"/>
      <c r="R121" s="461" t="str">
        <f t="shared" si="1"/>
        <v/>
      </c>
      <c r="S121" s="462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</row>
    <row r="122" spans="1:42" s="167" customFormat="1" ht="14.25" customHeight="1">
      <c r="A122" s="172"/>
      <c r="B122" s="654"/>
      <c r="C122" s="655"/>
      <c r="D122" s="666"/>
      <c r="E122" s="667"/>
      <c r="F122" s="668"/>
      <c r="G122" s="669"/>
      <c r="H122" s="670"/>
      <c r="I122" s="671"/>
      <c r="J122" s="605" t="str">
        <f t="shared" si="2"/>
        <v/>
      </c>
      <c r="K122" s="606"/>
      <c r="L122" s="672"/>
      <c r="M122" s="673"/>
      <c r="N122" s="668"/>
      <c r="O122" s="674"/>
      <c r="P122" s="624"/>
      <c r="Q122" s="625"/>
      <c r="R122" s="461" t="str">
        <f t="shared" si="1"/>
        <v/>
      </c>
      <c r="S122" s="462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  <c r="AF122" s="168"/>
      <c r="AG122" s="168"/>
      <c r="AH122" s="168"/>
      <c r="AI122" s="168"/>
      <c r="AJ122" s="168"/>
      <c r="AK122" s="168"/>
      <c r="AL122" s="168"/>
      <c r="AM122" s="168"/>
      <c r="AN122" s="168"/>
      <c r="AO122" s="168"/>
      <c r="AP122" s="168"/>
    </row>
    <row r="123" spans="1:42" s="167" customFormat="1" ht="14.25" customHeight="1" thickBot="1">
      <c r="B123" s="682"/>
      <c r="C123" s="682"/>
      <c r="D123" s="683"/>
      <c r="E123" s="684"/>
      <c r="F123" s="685"/>
      <c r="G123" s="686"/>
      <c r="H123" s="687"/>
      <c r="I123" s="688"/>
      <c r="J123" s="689"/>
      <c r="K123" s="690"/>
      <c r="L123" s="691"/>
      <c r="M123" s="692"/>
      <c r="N123" s="693"/>
      <c r="O123" s="694"/>
      <c r="P123" s="695"/>
      <c r="Q123" s="695"/>
      <c r="R123" s="675" t="str">
        <f t="shared" si="1"/>
        <v/>
      </c>
      <c r="S123" s="676"/>
      <c r="V123" s="168"/>
      <c r="W123" s="168"/>
      <c r="X123" s="168"/>
      <c r="Y123" s="168"/>
      <c r="Z123" s="168"/>
      <c r="AA123" s="168"/>
      <c r="AB123" s="168"/>
      <c r="AC123" s="168"/>
      <c r="AD123" s="168"/>
      <c r="AE123" s="168"/>
      <c r="AF123" s="168"/>
      <c r="AG123" s="168"/>
      <c r="AH123" s="168"/>
      <c r="AI123" s="168"/>
      <c r="AJ123" s="168"/>
      <c r="AK123" s="168"/>
      <c r="AL123" s="168"/>
      <c r="AM123" s="168"/>
      <c r="AN123" s="168"/>
      <c r="AO123" s="168"/>
      <c r="AP123" s="168"/>
    </row>
    <row r="124" spans="1:42" s="167" customFormat="1" ht="14.25" customHeight="1">
      <c r="D124" s="158"/>
      <c r="E124" s="158"/>
      <c r="F124" s="1020">
        <f>SUM(F94:G123)</f>
        <v>252</v>
      </c>
      <c r="G124" s="1021"/>
      <c r="H124" s="197"/>
      <c r="I124" s="197"/>
      <c r="J124" s="677">
        <f>SUM(J94:K123)</f>
        <v>258.3</v>
      </c>
      <c r="K124" s="678"/>
      <c r="L124" s="158"/>
      <c r="M124" s="158"/>
      <c r="N124" s="679">
        <f>SUM(N94:O123)</f>
        <v>0</v>
      </c>
      <c r="O124" s="680"/>
      <c r="P124" s="348"/>
      <c r="Q124" s="348"/>
      <c r="R124" s="677">
        <f>SUM(R94:S123)</f>
        <v>0</v>
      </c>
      <c r="S124" s="678"/>
      <c r="V124" s="168"/>
      <c r="W124" s="168"/>
      <c r="X124" s="168"/>
      <c r="Y124" s="168"/>
      <c r="Z124" s="168"/>
      <c r="AA124" s="168"/>
      <c r="AB124" s="168"/>
      <c r="AC124" s="168"/>
      <c r="AD124" s="168"/>
      <c r="AE124" s="168"/>
      <c r="AF124" s="168"/>
      <c r="AG124" s="168"/>
      <c r="AH124" s="168"/>
      <c r="AI124" s="168"/>
      <c r="AJ124" s="168"/>
      <c r="AK124" s="168"/>
      <c r="AL124" s="168"/>
      <c r="AM124" s="168"/>
      <c r="AN124" s="168"/>
      <c r="AO124" s="168"/>
      <c r="AP124" s="168"/>
    </row>
    <row r="125" spans="1:42" s="167" customFormat="1">
      <c r="D125" s="158"/>
      <c r="E125" s="158"/>
      <c r="F125" s="156"/>
      <c r="G125" s="156"/>
      <c r="H125" s="158"/>
      <c r="I125" s="158"/>
      <c r="J125" s="156"/>
      <c r="K125" s="156"/>
      <c r="L125" s="158"/>
      <c r="M125" s="158"/>
      <c r="N125" s="156"/>
      <c r="O125" s="156"/>
      <c r="P125" s="158"/>
      <c r="Q125" s="158"/>
      <c r="R125" s="156"/>
      <c r="S125" s="156"/>
      <c r="V125" s="168"/>
      <c r="W125" s="168"/>
      <c r="X125" s="168"/>
      <c r="Y125" s="168"/>
      <c r="Z125" s="168"/>
      <c r="AA125" s="168"/>
      <c r="AB125" s="168"/>
      <c r="AC125" s="168"/>
      <c r="AD125" s="168"/>
      <c r="AE125" s="168"/>
      <c r="AF125" s="168"/>
      <c r="AG125" s="168"/>
      <c r="AH125" s="168"/>
      <c r="AI125" s="168"/>
      <c r="AJ125" s="168"/>
      <c r="AK125" s="168"/>
      <c r="AL125" s="168"/>
      <c r="AM125" s="168"/>
      <c r="AN125" s="168"/>
      <c r="AO125" s="168"/>
      <c r="AP125" s="168"/>
    </row>
    <row r="126" spans="1:42" s="167" customFormat="1">
      <c r="B126" s="224" t="s">
        <v>18</v>
      </c>
      <c r="D126" s="158"/>
      <c r="E126" s="158"/>
      <c r="F126" s="156"/>
      <c r="G126" s="156"/>
      <c r="H126" s="158"/>
      <c r="I126" s="158"/>
      <c r="J126" s="156" t="s">
        <v>19</v>
      </c>
      <c r="K126" s="681">
        <v>1</v>
      </c>
      <c r="L126" s="681"/>
      <c r="M126" s="158"/>
      <c r="N126" s="156"/>
      <c r="O126" s="156"/>
      <c r="P126" s="158"/>
      <c r="Q126" s="158"/>
      <c r="R126" s="156"/>
      <c r="S126" s="156"/>
      <c r="V126" s="168"/>
      <c r="W126" s="168"/>
      <c r="X126" s="168"/>
      <c r="Y126" s="168"/>
      <c r="Z126" s="168"/>
      <c r="AA126" s="168"/>
      <c r="AB126" s="168"/>
      <c r="AC126" s="168"/>
      <c r="AD126" s="168"/>
      <c r="AE126" s="168"/>
      <c r="AF126" s="168"/>
      <c r="AG126" s="168"/>
      <c r="AH126" s="168"/>
      <c r="AI126" s="168"/>
      <c r="AJ126" s="168"/>
      <c r="AK126" s="168"/>
      <c r="AL126" s="168"/>
      <c r="AM126" s="168"/>
      <c r="AN126" s="168"/>
      <c r="AO126" s="168"/>
      <c r="AP126" s="168"/>
    </row>
    <row r="127" spans="1:42" s="167" customFormat="1" ht="16">
      <c r="B127" s="453" t="s">
        <v>13</v>
      </c>
      <c r="C127" s="454"/>
      <c r="D127" s="453" t="s">
        <v>14</v>
      </c>
      <c r="E127" s="454"/>
      <c r="F127" s="453" t="s">
        <v>15</v>
      </c>
      <c r="G127" s="454"/>
      <c r="H127" s="596" t="s">
        <v>16</v>
      </c>
      <c r="I127" s="454"/>
      <c r="J127" s="708" t="s">
        <v>17</v>
      </c>
      <c r="K127" s="709"/>
      <c r="L127" s="453" t="s">
        <v>14</v>
      </c>
      <c r="M127" s="454"/>
      <c r="N127" s="596" t="s">
        <v>15</v>
      </c>
      <c r="O127" s="454"/>
      <c r="P127" s="596" t="s">
        <v>16</v>
      </c>
      <c r="Q127" s="454"/>
      <c r="R127" s="453" t="s">
        <v>17</v>
      </c>
      <c r="S127" s="454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</row>
    <row r="128" spans="1:42" s="167" customFormat="1" ht="14.25" customHeight="1">
      <c r="A128" s="172"/>
      <c r="B128" s="696" t="s">
        <v>258</v>
      </c>
      <c r="C128" s="697"/>
      <c r="D128" s="615" t="s">
        <v>261</v>
      </c>
      <c r="E128" s="616"/>
      <c r="F128" s="698">
        <v>12</v>
      </c>
      <c r="G128" s="699"/>
      <c r="H128" s="700">
        <f>IF(K$126="","",K$126)</f>
        <v>1</v>
      </c>
      <c r="I128" s="701"/>
      <c r="J128" s="702">
        <f>IF(F128="","",+ROUND(F128*H128,3))</f>
        <v>12</v>
      </c>
      <c r="K128" s="703"/>
      <c r="L128" s="704" t="s">
        <v>261</v>
      </c>
      <c r="M128" s="705"/>
      <c r="N128" s="706">
        <v>11</v>
      </c>
      <c r="O128" s="707"/>
      <c r="P128" s="710">
        <f>IF(K$126="","",K$126)</f>
        <v>1</v>
      </c>
      <c r="Q128" s="612"/>
      <c r="R128" s="711">
        <f>IF(N128="","",+ROUND(N128*P128,3))</f>
        <v>11</v>
      </c>
      <c r="S128" s="712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O128" s="168"/>
      <c r="AP128" s="168"/>
    </row>
    <row r="129" spans="1:42" s="167" customFormat="1" ht="14.25" customHeight="1">
      <c r="A129" s="172"/>
      <c r="B129" s="597" t="s">
        <v>259</v>
      </c>
      <c r="C129" s="713"/>
      <c r="D129" s="626" t="s">
        <v>261</v>
      </c>
      <c r="E129" s="627"/>
      <c r="F129" s="714"/>
      <c r="G129" s="715"/>
      <c r="H129" s="716">
        <f>IF(K$126="","",K$126)</f>
        <v>1</v>
      </c>
      <c r="I129" s="717"/>
      <c r="J129" s="718" t="str">
        <f>IF(F129="","",+ROUND(F129*H129,3))</f>
        <v/>
      </c>
      <c r="K129" s="719"/>
      <c r="L129" s="662"/>
      <c r="M129" s="663"/>
      <c r="N129" s="720"/>
      <c r="O129" s="721"/>
      <c r="P129" s="722">
        <f>IF(K$126="","",K$126)</f>
        <v>1</v>
      </c>
      <c r="Q129" s="723"/>
      <c r="R129" s="724" t="str">
        <f>IF(N129="","",+ROUND(N129*P129,3))</f>
        <v/>
      </c>
      <c r="S129" s="725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</row>
    <row r="130" spans="1:42" s="167" customFormat="1" ht="14.25" customHeight="1">
      <c r="A130" s="172"/>
      <c r="B130" s="654" t="s">
        <v>260</v>
      </c>
      <c r="C130" s="726"/>
      <c r="D130" s="626"/>
      <c r="E130" s="627"/>
      <c r="F130" s="714"/>
      <c r="G130" s="727"/>
      <c r="H130" s="611">
        <f>IF(K$126="","",K$126)</f>
        <v>1</v>
      </c>
      <c r="I130" s="612"/>
      <c r="J130" s="728" t="str">
        <f>IF(F130="","",+ROUND(F130*H130,3))</f>
        <v/>
      </c>
      <c r="K130" s="729"/>
      <c r="L130" s="662"/>
      <c r="M130" s="663"/>
      <c r="N130" s="720"/>
      <c r="O130" s="721"/>
      <c r="P130" s="730">
        <f>IF(K$126="","",K$126)</f>
        <v>1</v>
      </c>
      <c r="Q130" s="717"/>
      <c r="R130" s="731" t="str">
        <f>IF(N130="","",+ROUND(N130*P130,3))</f>
        <v/>
      </c>
      <c r="S130" s="732"/>
      <c r="V130" s="168"/>
      <c r="W130" s="168"/>
      <c r="X130" s="168"/>
      <c r="Y130" s="168"/>
      <c r="Z130" s="168"/>
      <c r="AA130" s="168"/>
      <c r="AB130" s="168"/>
      <c r="AC130" s="168"/>
      <c r="AD130" s="168"/>
      <c r="AE130" s="168"/>
      <c r="AF130" s="168"/>
      <c r="AG130" s="168"/>
      <c r="AH130" s="168"/>
      <c r="AI130" s="168"/>
      <c r="AJ130" s="168"/>
      <c r="AK130" s="168"/>
      <c r="AL130" s="168"/>
      <c r="AM130" s="168"/>
      <c r="AN130" s="168"/>
      <c r="AO130" s="168"/>
      <c r="AP130" s="168"/>
    </row>
    <row r="131" spans="1:42" s="167" customFormat="1" ht="14.25" customHeight="1">
      <c r="B131" s="682"/>
      <c r="C131" s="682"/>
      <c r="D131" s="752"/>
      <c r="E131" s="753"/>
      <c r="F131" s="754"/>
      <c r="G131" s="755"/>
      <c r="H131" s="756">
        <f>IF(K$126="","",K$126)</f>
        <v>1</v>
      </c>
      <c r="I131" s="757"/>
      <c r="J131" s="758" t="str">
        <f>IF(F131="","",+ROUND(F131*H131,3))</f>
        <v/>
      </c>
      <c r="K131" s="759"/>
      <c r="L131" s="760"/>
      <c r="M131" s="761"/>
      <c r="N131" s="742"/>
      <c r="O131" s="743"/>
      <c r="P131" s="744">
        <f>IF(K$126="","",K$126)</f>
        <v>1</v>
      </c>
      <c r="Q131" s="745"/>
      <c r="R131" s="746" t="str">
        <f>IF(N131="","",+ROUND(N131*P131,3))</f>
        <v/>
      </c>
      <c r="S131" s="747"/>
      <c r="V131" s="168"/>
      <c r="W131" s="168"/>
      <c r="X131" s="168"/>
      <c r="Y131" s="168"/>
      <c r="Z131" s="168"/>
      <c r="AA131" s="168"/>
      <c r="AB131" s="168"/>
      <c r="AC131" s="168"/>
      <c r="AD131" s="168"/>
      <c r="AE131" s="168"/>
      <c r="AF131" s="168"/>
      <c r="AG131" s="168"/>
      <c r="AH131" s="168"/>
      <c r="AI131" s="168"/>
      <c r="AJ131" s="168"/>
      <c r="AK131" s="168"/>
      <c r="AL131" s="168"/>
      <c r="AM131" s="168"/>
      <c r="AN131" s="168"/>
      <c r="AO131" s="168"/>
      <c r="AP131" s="168"/>
    </row>
    <row r="132" spans="1:42" s="167" customFormat="1" ht="14.25" customHeight="1">
      <c r="D132" s="158"/>
      <c r="E132" s="158"/>
      <c r="F132" s="156"/>
      <c r="G132" s="156"/>
      <c r="H132" s="197"/>
      <c r="I132" s="197"/>
      <c r="J132" s="748">
        <f>SUM(J128:K131)</f>
        <v>12</v>
      </c>
      <c r="K132" s="749"/>
      <c r="L132" s="158"/>
      <c r="M132" s="158"/>
      <c r="N132" s="156"/>
      <c r="O132" s="156"/>
      <c r="P132" s="158"/>
      <c r="Q132" s="158"/>
      <c r="R132" s="750">
        <f>SUM(R128:S131)</f>
        <v>11</v>
      </c>
      <c r="S132" s="751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68"/>
      <c r="AI132" s="168"/>
      <c r="AJ132" s="168"/>
      <c r="AK132" s="168"/>
      <c r="AL132" s="168"/>
      <c r="AM132" s="168"/>
      <c r="AN132" s="168"/>
      <c r="AO132" s="168"/>
      <c r="AP132" s="168"/>
    </row>
    <row r="133" spans="1:42" s="167" customFormat="1">
      <c r="D133" s="158"/>
      <c r="E133" s="158"/>
      <c r="F133" s="156"/>
      <c r="G133" s="156"/>
      <c r="H133" s="158"/>
      <c r="I133" s="158"/>
      <c r="J133" s="156"/>
      <c r="K133" s="349"/>
      <c r="L133" s="329"/>
      <c r="M133" s="329"/>
      <c r="N133" s="350"/>
      <c r="O133" s="156"/>
      <c r="P133" s="158"/>
      <c r="Q133" s="158"/>
      <c r="R133" s="156"/>
      <c r="S133" s="156"/>
      <c r="V133" s="168"/>
      <c r="W133" s="168"/>
      <c r="X133" s="168"/>
      <c r="Y133" s="168"/>
      <c r="Z133" s="168"/>
      <c r="AA133" s="168"/>
      <c r="AB133" s="168"/>
      <c r="AC133" s="168"/>
      <c r="AD133" s="168"/>
      <c r="AE133" s="168"/>
      <c r="AF133" s="168"/>
      <c r="AG133" s="168"/>
      <c r="AH133" s="168"/>
      <c r="AI133" s="168"/>
      <c r="AJ133" s="168"/>
      <c r="AK133" s="168"/>
      <c r="AL133" s="168"/>
      <c r="AM133" s="168"/>
      <c r="AN133" s="168"/>
      <c r="AO133" s="168"/>
      <c r="AP133" s="168"/>
    </row>
    <row r="134" spans="1:42" s="167" customFormat="1" ht="6" customHeight="1">
      <c r="A134" s="296"/>
      <c r="B134" s="351"/>
      <c r="C134" s="173"/>
      <c r="D134" s="160"/>
      <c r="E134" s="160"/>
      <c r="F134" s="433"/>
      <c r="G134" s="433"/>
      <c r="H134" s="160"/>
      <c r="I134" s="160"/>
      <c r="J134" s="352"/>
      <c r="K134" s="353"/>
      <c r="L134" s="354"/>
      <c r="M134" s="160"/>
      <c r="N134" s="355"/>
      <c r="O134" s="433"/>
      <c r="P134" s="356"/>
      <c r="Q134" s="258"/>
      <c r="R134" s="353"/>
      <c r="S134" s="357"/>
      <c r="V134" s="168"/>
      <c r="W134" s="168"/>
      <c r="X134" s="168"/>
      <c r="Y134" s="168"/>
      <c r="Z134" s="168"/>
      <c r="AA134" s="168"/>
      <c r="AB134" s="168"/>
      <c r="AC134" s="168"/>
      <c r="AD134" s="168"/>
      <c r="AE134" s="168"/>
      <c r="AF134" s="168"/>
      <c r="AG134" s="168"/>
      <c r="AH134" s="168"/>
      <c r="AI134" s="168"/>
      <c r="AJ134" s="168"/>
      <c r="AK134" s="168"/>
      <c r="AL134" s="168"/>
      <c r="AM134" s="168"/>
      <c r="AN134" s="168"/>
      <c r="AO134" s="168"/>
      <c r="AP134" s="168"/>
    </row>
    <row r="135" spans="1:42" s="167" customFormat="1" ht="14.25" customHeight="1">
      <c r="A135" s="295"/>
      <c r="B135" s="733" t="s">
        <v>20</v>
      </c>
      <c r="C135" s="734"/>
      <c r="D135" s="734"/>
      <c r="E135" s="734"/>
      <c r="F135" s="734"/>
      <c r="G135" s="734"/>
      <c r="H135" s="738">
        <v>11</v>
      </c>
      <c r="I135" s="739"/>
      <c r="J135" s="740"/>
      <c r="K135" s="168"/>
      <c r="L135" s="295"/>
      <c r="M135" s="168"/>
      <c r="N135" s="738">
        <v>11</v>
      </c>
      <c r="O135" s="739"/>
      <c r="P135" s="740"/>
      <c r="Q135" s="158"/>
      <c r="R135" s="156"/>
      <c r="S135" s="358"/>
      <c r="V135" s="168"/>
      <c r="W135" s="168"/>
      <c r="X135" s="168"/>
      <c r="Y135" s="168"/>
      <c r="Z135" s="168"/>
      <c r="AA135" s="168"/>
      <c r="AB135" s="168"/>
      <c r="AC135" s="168"/>
      <c r="AD135" s="168"/>
      <c r="AE135" s="359"/>
      <c r="AF135" s="168"/>
      <c r="AG135" s="168"/>
      <c r="AH135" s="168"/>
      <c r="AI135" s="359"/>
      <c r="AJ135" s="168"/>
      <c r="AK135" s="168"/>
      <c r="AL135" s="168"/>
      <c r="AM135" s="168"/>
      <c r="AN135" s="168"/>
      <c r="AO135" s="168"/>
      <c r="AP135" s="168"/>
    </row>
    <row r="136" spans="1:42" s="167" customFormat="1" ht="14.25" customHeight="1">
      <c r="A136" s="295"/>
      <c r="B136" s="733" t="s">
        <v>21</v>
      </c>
      <c r="C136" s="734"/>
      <c r="D136" s="734"/>
      <c r="E136" s="734"/>
      <c r="F136" s="734"/>
      <c r="G136" s="734"/>
      <c r="H136" s="735">
        <v>23</v>
      </c>
      <c r="I136" s="736"/>
      <c r="J136" s="737"/>
      <c r="K136" s="168"/>
      <c r="L136" s="295"/>
      <c r="M136" s="168"/>
      <c r="N136" s="738">
        <v>23</v>
      </c>
      <c r="O136" s="739"/>
      <c r="P136" s="740"/>
      <c r="Q136" s="158"/>
      <c r="R136" s="156"/>
      <c r="S136" s="358"/>
      <c r="V136" s="168"/>
      <c r="W136" s="168"/>
      <c r="X136" s="168"/>
      <c r="Y136" s="168"/>
      <c r="Z136" s="168"/>
      <c r="AA136" s="168"/>
      <c r="AB136" s="168"/>
      <c r="AC136" s="168"/>
      <c r="AD136" s="168"/>
      <c r="AE136" s="168"/>
      <c r="AF136" s="168"/>
      <c r="AG136" s="168"/>
      <c r="AH136" s="168"/>
      <c r="AI136" s="168"/>
      <c r="AJ136" s="168"/>
      <c r="AK136" s="168"/>
      <c r="AL136" s="168"/>
      <c r="AM136" s="168"/>
      <c r="AN136" s="168"/>
      <c r="AO136" s="168"/>
      <c r="AP136" s="168"/>
    </row>
    <row r="137" spans="1:42" s="167" customFormat="1" ht="14.25" customHeight="1">
      <c r="A137" s="295"/>
      <c r="B137" s="733" t="s">
        <v>22</v>
      </c>
      <c r="C137" s="734"/>
      <c r="D137" s="734"/>
      <c r="E137" s="734"/>
      <c r="F137" s="734"/>
      <c r="G137" s="734"/>
      <c r="H137" s="738">
        <v>0</v>
      </c>
      <c r="I137" s="739"/>
      <c r="J137" s="740"/>
      <c r="K137" s="168"/>
      <c r="L137" s="295"/>
      <c r="M137" s="168"/>
      <c r="N137" s="741">
        <v>0</v>
      </c>
      <c r="O137" s="736"/>
      <c r="P137" s="737"/>
      <c r="Q137" s="158"/>
      <c r="R137" s="156"/>
      <c r="S137" s="358"/>
      <c r="V137" s="168"/>
      <c r="W137" s="168"/>
      <c r="X137" s="168"/>
      <c r="Y137" s="168"/>
      <c r="Z137" s="168"/>
      <c r="AA137" s="168"/>
      <c r="AB137" s="168"/>
      <c r="AC137" s="168"/>
      <c r="AD137" s="168"/>
      <c r="AE137" s="168"/>
      <c r="AF137" s="168"/>
      <c r="AG137" s="168"/>
      <c r="AH137" s="168"/>
      <c r="AI137" s="168"/>
      <c r="AJ137" s="168"/>
      <c r="AK137" s="168"/>
      <c r="AL137" s="168"/>
      <c r="AM137" s="168"/>
      <c r="AN137" s="168"/>
      <c r="AO137" s="168"/>
      <c r="AP137" s="168"/>
    </row>
    <row r="138" spans="1:42" s="167" customFormat="1" ht="14.25" customHeight="1">
      <c r="A138" s="308"/>
      <c r="B138" s="773" t="s">
        <v>23</v>
      </c>
      <c r="C138" s="774"/>
      <c r="D138" s="774"/>
      <c r="E138" s="774"/>
      <c r="F138" s="774"/>
      <c r="G138" s="774"/>
      <c r="H138" s="775">
        <f>SUM(H135:J137)</f>
        <v>34</v>
      </c>
      <c r="I138" s="775"/>
      <c r="J138" s="776"/>
      <c r="K138" s="168"/>
      <c r="L138" s="308"/>
      <c r="M138" s="273"/>
      <c r="N138" s="775">
        <f>SUM(N135:P137)</f>
        <v>34</v>
      </c>
      <c r="O138" s="775"/>
      <c r="P138" s="776"/>
      <c r="Q138" s="158"/>
      <c r="R138" s="156"/>
      <c r="S138" s="358"/>
      <c r="V138" s="168"/>
      <c r="W138" s="168"/>
      <c r="X138" s="168"/>
      <c r="Y138" s="168"/>
      <c r="Z138" s="168"/>
      <c r="AA138" s="168"/>
      <c r="AB138" s="168"/>
      <c r="AC138" s="168"/>
      <c r="AD138" s="168"/>
      <c r="AE138" s="168"/>
      <c r="AF138" s="168"/>
      <c r="AG138" s="168"/>
      <c r="AH138" s="168"/>
      <c r="AI138" s="168"/>
      <c r="AJ138" s="168"/>
      <c r="AK138" s="168"/>
      <c r="AL138" s="168"/>
      <c r="AM138" s="168"/>
      <c r="AN138" s="168"/>
      <c r="AO138" s="168"/>
      <c r="AP138" s="168"/>
    </row>
    <row r="139" spans="1:42" s="167" customFormat="1">
      <c r="B139" s="247"/>
      <c r="D139" s="158"/>
      <c r="E139" s="158"/>
      <c r="F139" s="156"/>
      <c r="G139" s="156"/>
      <c r="H139" s="158"/>
      <c r="I139" s="158"/>
      <c r="J139" s="156"/>
      <c r="K139" s="360"/>
      <c r="L139" s="158"/>
      <c r="M139" s="158"/>
      <c r="N139" s="156"/>
      <c r="O139" s="156"/>
      <c r="P139" s="158"/>
      <c r="Q139" s="158"/>
      <c r="R139" s="156"/>
      <c r="S139" s="358"/>
    </row>
    <row r="140" spans="1:42" s="167" customFormat="1" ht="14.25" customHeight="1">
      <c r="A140" s="296"/>
      <c r="B140" s="777" t="s">
        <v>24</v>
      </c>
      <c r="C140" s="778"/>
      <c r="D140" s="778"/>
      <c r="E140" s="778"/>
      <c r="F140" s="778"/>
      <c r="G140" s="779"/>
      <c r="H140" s="767">
        <v>2</v>
      </c>
      <c r="I140" s="780"/>
      <c r="J140" s="781"/>
      <c r="K140" s="172"/>
      <c r="L140" s="173"/>
      <c r="M140" s="361"/>
      <c r="N140" s="782">
        <v>1</v>
      </c>
      <c r="O140" s="782"/>
      <c r="P140" s="783"/>
      <c r="Q140" s="158"/>
      <c r="R140" s="156"/>
      <c r="S140" s="358"/>
    </row>
    <row r="141" spans="1:42" s="167" customFormat="1" ht="14.25" customHeight="1">
      <c r="A141" s="308"/>
      <c r="B141" s="762" t="s">
        <v>25</v>
      </c>
      <c r="C141" s="763"/>
      <c r="D141" s="763"/>
      <c r="E141" s="763"/>
      <c r="F141" s="763"/>
      <c r="G141" s="362"/>
      <c r="H141" s="764">
        <v>1</v>
      </c>
      <c r="I141" s="765"/>
      <c r="J141" s="766"/>
      <c r="K141" s="168"/>
      <c r="L141" s="308"/>
      <c r="M141" s="362"/>
      <c r="N141" s="767">
        <v>1</v>
      </c>
      <c r="O141" s="767"/>
      <c r="P141" s="768"/>
      <c r="Q141" s="158"/>
      <c r="R141" s="156"/>
      <c r="S141" s="358"/>
    </row>
    <row r="142" spans="1:42" s="167" customFormat="1" ht="6" customHeight="1">
      <c r="B142" s="363"/>
      <c r="C142" s="364"/>
      <c r="D142" s="238"/>
      <c r="E142" s="238"/>
      <c r="F142" s="349"/>
      <c r="G142" s="349"/>
      <c r="H142" s="238"/>
      <c r="I142" s="238"/>
      <c r="J142" s="349"/>
      <c r="K142" s="349"/>
      <c r="L142" s="238"/>
      <c r="M142" s="238"/>
      <c r="N142" s="349"/>
      <c r="O142" s="349"/>
      <c r="P142" s="238"/>
      <c r="Q142" s="238"/>
      <c r="R142" s="349"/>
      <c r="S142" s="365"/>
    </row>
    <row r="143" spans="1:42" s="167" customFormat="1">
      <c r="D143" s="158"/>
      <c r="E143" s="158"/>
      <c r="F143" s="156"/>
      <c r="G143" s="156"/>
      <c r="H143" s="158"/>
      <c r="I143" s="158"/>
      <c r="J143" s="156"/>
      <c r="K143" s="156"/>
      <c r="L143" s="158"/>
      <c r="M143" s="158"/>
      <c r="N143" s="156"/>
      <c r="O143" s="156"/>
      <c r="P143" s="158"/>
      <c r="Q143" s="158"/>
      <c r="R143" s="156"/>
      <c r="S143" s="156"/>
    </row>
    <row r="144" spans="1:42" s="167" customFormat="1">
      <c r="B144" s="562" t="s">
        <v>78</v>
      </c>
      <c r="C144" s="563"/>
      <c r="D144" s="769"/>
      <c r="E144" s="769"/>
      <c r="F144" s="769"/>
      <c r="G144" s="769"/>
      <c r="H144" s="770">
        <f>IF(SUM(J124,J132,H138)=0,"",SUM(J124,J132,H138,H140,H141))</f>
        <v>307.3</v>
      </c>
      <c r="I144" s="771"/>
      <c r="J144" s="772"/>
      <c r="K144" s="366"/>
      <c r="L144" s="366"/>
      <c r="M144" s="366"/>
      <c r="N144" s="770">
        <f>IF(SUM(R124,R132,N138,N140,N141)=0,"",SUM(R124,R132,N138,N140,N141))</f>
        <v>47</v>
      </c>
      <c r="O144" s="771"/>
      <c r="P144" s="772"/>
      <c r="Q144" s="367"/>
      <c r="R144" s="156"/>
      <c r="S144" s="156"/>
    </row>
    <row r="145" spans="1:19" s="167" customFormat="1">
      <c r="D145" s="158"/>
      <c r="E145" s="158"/>
      <c r="F145" s="156"/>
      <c r="G145" s="156"/>
      <c r="H145" s="158"/>
      <c r="I145" s="158"/>
      <c r="J145" s="156"/>
      <c r="K145" s="156"/>
      <c r="L145" s="158"/>
      <c r="M145" s="158"/>
      <c r="N145" s="156"/>
      <c r="O145" s="156"/>
      <c r="P145" s="158"/>
      <c r="Q145" s="158"/>
      <c r="R145" s="156"/>
      <c r="S145" s="156"/>
    </row>
    <row r="146" spans="1:19" s="167" customFormat="1" ht="16"/>
    <row r="147" spans="1:19" s="167" customFormat="1" ht="6" customHeight="1">
      <c r="B147" s="169"/>
      <c r="C147" s="170"/>
      <c r="D147" s="170"/>
      <c r="E147" s="170"/>
      <c r="F147" s="170"/>
      <c r="G147" s="170"/>
      <c r="H147" s="258"/>
      <c r="I147" s="258"/>
      <c r="J147" s="258"/>
      <c r="K147" s="170"/>
      <c r="L147" s="368"/>
      <c r="M147" s="368"/>
      <c r="N147" s="368"/>
      <c r="O147" s="368"/>
      <c r="P147" s="170"/>
      <c r="Q147" s="366"/>
      <c r="R147" s="171"/>
    </row>
    <row r="148" spans="1:19" s="167" customFormat="1">
      <c r="A148" s="296"/>
      <c r="B148" s="793" t="s">
        <v>239</v>
      </c>
      <c r="C148" s="796" t="s">
        <v>79</v>
      </c>
      <c r="D148" s="797"/>
      <c r="E148" s="797"/>
      <c r="F148" s="797"/>
      <c r="G148" s="798"/>
      <c r="H148" s="799">
        <f>IF(I48="","",+I48)</f>
        <v>123</v>
      </c>
      <c r="I148" s="797"/>
      <c r="J148" s="797"/>
      <c r="K148" s="270"/>
      <c r="L148" s="321"/>
      <c r="M148" s="161"/>
      <c r="N148" s="585">
        <f>IF(O48="","",+O48)</f>
        <v>205</v>
      </c>
      <c r="O148" s="585"/>
      <c r="P148" s="586"/>
      <c r="Q148" s="231"/>
      <c r="R148" s="369"/>
    </row>
    <row r="149" spans="1:19" s="167" customFormat="1">
      <c r="A149" s="295"/>
      <c r="B149" s="794"/>
      <c r="C149" s="800" t="s">
        <v>80</v>
      </c>
      <c r="D149" s="574"/>
      <c r="E149" s="574"/>
      <c r="F149" s="574"/>
      <c r="G149" s="785"/>
      <c r="H149" s="786">
        <f>IF(I50="","",+I50)</f>
        <v>123</v>
      </c>
      <c r="I149" s="574"/>
      <c r="J149" s="574"/>
      <c r="K149" s="172"/>
      <c r="L149" s="260"/>
      <c r="M149" s="162"/>
      <c r="N149" s="573">
        <f>IF(O50="","",+O50)</f>
        <v>205</v>
      </c>
      <c r="O149" s="573"/>
      <c r="P149" s="801"/>
      <c r="Q149" s="231"/>
      <c r="R149" s="369"/>
    </row>
    <row r="150" spans="1:19" s="167" customFormat="1">
      <c r="A150" s="295"/>
      <c r="B150" s="794"/>
      <c r="C150" s="784" t="s">
        <v>81</v>
      </c>
      <c r="D150" s="574"/>
      <c r="E150" s="574"/>
      <c r="F150" s="574"/>
      <c r="G150" s="785"/>
      <c r="H150" s="786">
        <f>IF(H148="","",AVERAGE(H148:J149))</f>
        <v>123</v>
      </c>
      <c r="I150" s="574"/>
      <c r="J150" s="574"/>
      <c r="K150" s="172"/>
      <c r="L150" s="168"/>
      <c r="M150" s="429"/>
      <c r="N150" s="573">
        <f>IF(N148="","",AVERAGE(N148:P149))</f>
        <v>205</v>
      </c>
      <c r="O150" s="574"/>
      <c r="P150" s="575"/>
      <c r="Q150" s="231"/>
      <c r="R150" s="369"/>
    </row>
    <row r="151" spans="1:19" s="167" customFormat="1">
      <c r="A151" s="295"/>
      <c r="B151" s="794"/>
      <c r="C151" s="784" t="s">
        <v>82</v>
      </c>
      <c r="D151" s="574"/>
      <c r="E151" s="574"/>
      <c r="F151" s="574"/>
      <c r="G151" s="785"/>
      <c r="H151" s="786">
        <f>IF(H150="","",I38*H88/H85*(IF(K38="A",1,-1)*IF(K88="A",-1,1)))</f>
        <v>-3.7401437443304726</v>
      </c>
      <c r="I151" s="574"/>
      <c r="J151" s="574"/>
      <c r="K151" s="172"/>
      <c r="L151" s="168"/>
      <c r="M151" s="429"/>
      <c r="N151" s="573">
        <f>IF(N150="","",O38*N88/N85*(IF(Q38="A",1,-1)*IF(Q88="A",-1,1)))</f>
        <v>-2.3370352486721391</v>
      </c>
      <c r="O151" s="573"/>
      <c r="P151" s="575"/>
      <c r="Q151" s="231"/>
      <c r="R151" s="369"/>
    </row>
    <row r="152" spans="1:19" s="167" customFormat="1">
      <c r="A152" s="308"/>
      <c r="B152" s="795"/>
      <c r="C152" s="787" t="s">
        <v>83</v>
      </c>
      <c r="D152" s="788"/>
      <c r="E152" s="788"/>
      <c r="F152" s="788"/>
      <c r="G152" s="789"/>
      <c r="H152" s="790">
        <f>IF(H150="","",+ROUND(H150+H151,2))</f>
        <v>119.26</v>
      </c>
      <c r="I152" s="788"/>
      <c r="J152" s="788"/>
      <c r="K152" s="312"/>
      <c r="L152" s="168"/>
      <c r="M152" s="426"/>
      <c r="N152" s="791">
        <f>IF(N150="","",+ROUND(N150+N151,2))</f>
        <v>202.66</v>
      </c>
      <c r="O152" s="791"/>
      <c r="P152" s="792"/>
      <c r="Q152" s="246"/>
      <c r="R152" s="369"/>
    </row>
    <row r="153" spans="1:19" s="167" customFormat="1" ht="6" customHeight="1">
      <c r="B153" s="370"/>
      <c r="C153" s="371"/>
      <c r="D153" s="372"/>
      <c r="E153" s="435"/>
      <c r="F153" s="435"/>
      <c r="G153" s="435"/>
      <c r="H153" s="435"/>
      <c r="I153" s="157"/>
      <c r="J153" s="157"/>
      <c r="K153" s="373"/>
      <c r="L153" s="173"/>
      <c r="M153" s="434"/>
      <c r="N153" s="157"/>
      <c r="O153" s="157"/>
      <c r="P153" s="163"/>
      <c r="R153" s="231"/>
    </row>
    <row r="154" spans="1:19" s="167" customFormat="1">
      <c r="A154" s="296"/>
      <c r="B154" s="793" t="s">
        <v>214</v>
      </c>
      <c r="C154" s="796" t="s">
        <v>79</v>
      </c>
      <c r="D154" s="797"/>
      <c r="E154" s="797"/>
      <c r="F154" s="797"/>
      <c r="G154" s="798"/>
      <c r="H154" s="799">
        <f>IF(+I52="","",I52)</f>
        <v>523</v>
      </c>
      <c r="I154" s="797"/>
      <c r="J154" s="797"/>
      <c r="K154" s="172"/>
      <c r="L154" s="374"/>
      <c r="M154" s="161"/>
      <c r="N154" s="585">
        <f>IF(+O52="","",O52)</f>
        <v>326</v>
      </c>
      <c r="O154" s="797"/>
      <c r="P154" s="747"/>
      <c r="Q154" s="171"/>
      <c r="R154" s="231"/>
    </row>
    <row r="155" spans="1:19" s="167" customFormat="1">
      <c r="A155" s="295"/>
      <c r="B155" s="802"/>
      <c r="C155" s="800" t="s">
        <v>80</v>
      </c>
      <c r="D155" s="574"/>
      <c r="E155" s="574"/>
      <c r="F155" s="574"/>
      <c r="G155" s="785"/>
      <c r="H155" s="786">
        <f>IF(+I54="","",I54)</f>
        <v>523</v>
      </c>
      <c r="I155" s="574"/>
      <c r="J155" s="574"/>
      <c r="K155" s="172"/>
      <c r="L155" s="260"/>
      <c r="M155" s="162"/>
      <c r="N155" s="573">
        <f>IF(+O54="","",O54)</f>
        <v>326</v>
      </c>
      <c r="O155" s="574"/>
      <c r="P155" s="575"/>
      <c r="Q155" s="231"/>
      <c r="R155" s="231"/>
    </row>
    <row r="156" spans="1:19" s="167" customFormat="1">
      <c r="A156" s="295"/>
      <c r="B156" s="802"/>
      <c r="C156" s="784" t="s">
        <v>81</v>
      </c>
      <c r="D156" s="574"/>
      <c r="E156" s="574"/>
      <c r="F156" s="574"/>
      <c r="G156" s="785"/>
      <c r="H156" s="786">
        <f>IF(H155="","",AVERAGE(H154:J155))</f>
        <v>523</v>
      </c>
      <c r="I156" s="574"/>
      <c r="J156" s="574"/>
      <c r="K156" s="172"/>
      <c r="L156" s="168"/>
      <c r="M156" s="429"/>
      <c r="N156" s="573">
        <f>IF(N155="","",AVERAGE(N154:P155))</f>
        <v>326</v>
      </c>
      <c r="O156" s="574"/>
      <c r="P156" s="575"/>
      <c r="Q156" s="231"/>
      <c r="R156" s="231"/>
    </row>
    <row r="157" spans="1:19" s="167" customFormat="1">
      <c r="A157" s="295"/>
      <c r="B157" s="802"/>
      <c r="C157" s="784" t="s">
        <v>84</v>
      </c>
      <c r="D157" s="574"/>
      <c r="E157" s="574"/>
      <c r="F157" s="574"/>
      <c r="G157" s="785"/>
      <c r="H157" s="786">
        <f>IF(H156="","",H88*I40/H85*(IF(K40="A",1,-1)*IF(K88="A",-1,1)))</f>
        <v>-8.3734561440234447</v>
      </c>
      <c r="I157" s="574"/>
      <c r="J157" s="574"/>
      <c r="K157" s="172"/>
      <c r="L157" s="168"/>
      <c r="M157" s="429"/>
      <c r="N157" s="573">
        <f>IF(N156="","",N88*O40/N85*(IF(Q40="A",1,-1)*IF(Q88="A",-1,1)))</f>
        <v>0.80335586673104775</v>
      </c>
      <c r="O157" s="573"/>
      <c r="P157" s="575"/>
      <c r="Q157" s="231"/>
      <c r="R157" s="231"/>
    </row>
    <row r="158" spans="1:19" s="167" customFormat="1">
      <c r="A158" s="308"/>
      <c r="B158" s="803"/>
      <c r="C158" s="787" t="s">
        <v>85</v>
      </c>
      <c r="D158" s="788"/>
      <c r="E158" s="788"/>
      <c r="F158" s="788"/>
      <c r="G158" s="789"/>
      <c r="H158" s="790">
        <f>IF(H156="","",+ROUND(H156+H157,2))</f>
        <v>514.63</v>
      </c>
      <c r="I158" s="788"/>
      <c r="J158" s="788"/>
      <c r="K158" s="312"/>
      <c r="L158" s="273"/>
      <c r="M158" s="426"/>
      <c r="N158" s="791">
        <f>IF(N156="","",ROUND(N156+N157,2))</f>
        <v>326.8</v>
      </c>
      <c r="O158" s="791"/>
      <c r="P158" s="792"/>
      <c r="Q158" s="246"/>
      <c r="R158" s="231"/>
    </row>
    <row r="159" spans="1:19" s="167" customFormat="1" ht="6" customHeight="1">
      <c r="B159" s="375"/>
      <c r="C159" s="376"/>
      <c r="D159" s="377"/>
      <c r="E159" s="435"/>
      <c r="F159" s="435"/>
      <c r="G159" s="435"/>
      <c r="H159" s="435"/>
      <c r="I159" s="157"/>
      <c r="J159" s="157"/>
      <c r="M159" s="434"/>
      <c r="N159" s="157"/>
      <c r="O159" s="157"/>
      <c r="P159" s="163"/>
      <c r="R159" s="231"/>
    </row>
    <row r="160" spans="1:19" s="167" customFormat="1">
      <c r="A160" s="296"/>
      <c r="B160" s="793" t="s">
        <v>86</v>
      </c>
      <c r="C160" s="796" t="s">
        <v>79</v>
      </c>
      <c r="D160" s="797"/>
      <c r="E160" s="797"/>
      <c r="F160" s="797"/>
      <c r="G160" s="798"/>
      <c r="H160" s="799">
        <f>IF(+I56="","",I56)</f>
        <v>505</v>
      </c>
      <c r="I160" s="797"/>
      <c r="J160" s="797"/>
      <c r="K160" s="270"/>
      <c r="L160" s="321"/>
      <c r="M160" s="161"/>
      <c r="N160" s="585">
        <f>IF(+O56="","",O56)</f>
        <v>266</v>
      </c>
      <c r="O160" s="797"/>
      <c r="P160" s="747"/>
      <c r="Q160" s="171"/>
      <c r="R160" s="231"/>
    </row>
    <row r="161" spans="1:25" s="167" customFormat="1">
      <c r="A161" s="295"/>
      <c r="B161" s="802"/>
      <c r="C161" s="800" t="s">
        <v>80</v>
      </c>
      <c r="D161" s="574"/>
      <c r="E161" s="574"/>
      <c r="F161" s="574"/>
      <c r="G161" s="785"/>
      <c r="H161" s="786">
        <f>IF(+I58="","",I58)</f>
        <v>560</v>
      </c>
      <c r="I161" s="574"/>
      <c r="J161" s="574"/>
      <c r="K161" s="172"/>
      <c r="L161" s="260"/>
      <c r="M161" s="162"/>
      <c r="N161" s="573">
        <f>IF(+O58="","",O58)</f>
        <v>266</v>
      </c>
      <c r="O161" s="574"/>
      <c r="P161" s="575"/>
      <c r="Q161" s="231"/>
      <c r="R161" s="231"/>
    </row>
    <row r="162" spans="1:25" s="167" customFormat="1">
      <c r="A162" s="295"/>
      <c r="B162" s="802"/>
      <c r="C162" s="784" t="s">
        <v>81</v>
      </c>
      <c r="D162" s="574"/>
      <c r="E162" s="574"/>
      <c r="F162" s="574"/>
      <c r="G162" s="785"/>
      <c r="H162" s="573">
        <f>IF(H160="","",AVERAGE(H160:J161))</f>
        <v>532.5</v>
      </c>
      <c r="I162" s="574"/>
      <c r="J162" s="574"/>
      <c r="K162" s="172"/>
      <c r="L162" s="168"/>
      <c r="M162" s="429"/>
      <c r="N162" s="573">
        <f>IF(N160="","",AVERAGE(N160:P161))</f>
        <v>266</v>
      </c>
      <c r="O162" s="574"/>
      <c r="P162" s="575"/>
      <c r="Q162" s="231"/>
      <c r="R162" s="231"/>
    </row>
    <row r="163" spans="1:25" s="167" customFormat="1">
      <c r="A163" s="295"/>
      <c r="B163" s="802"/>
      <c r="C163" s="784" t="s">
        <v>87</v>
      </c>
      <c r="D163" s="574"/>
      <c r="E163" s="574"/>
      <c r="F163" s="574"/>
      <c r="G163" s="785"/>
      <c r="H163" s="573">
        <f>IF(H162="","",H88*I42/H85*(IF(K42="A",1,-1)*IF(K88="A",-1,1)))</f>
        <v>5.3962272928151096</v>
      </c>
      <c r="I163" s="574"/>
      <c r="J163" s="574"/>
      <c r="K163" s="172"/>
      <c r="L163" s="168"/>
      <c r="M163" s="429"/>
      <c r="N163" s="573">
        <f>IF(N162="","",N88*O42/N85*(IF(Q42="A",1,-1)*IF(Q88="A",-1,1)))</f>
        <v>-2.4100676001931434</v>
      </c>
      <c r="O163" s="573"/>
      <c r="P163" s="575"/>
      <c r="Q163" s="231"/>
      <c r="R163" s="231"/>
    </row>
    <row r="164" spans="1:25" s="167" customFormat="1">
      <c r="A164" s="308"/>
      <c r="B164" s="803"/>
      <c r="C164" s="787" t="s">
        <v>88</v>
      </c>
      <c r="D164" s="788"/>
      <c r="E164" s="788"/>
      <c r="F164" s="788"/>
      <c r="G164" s="789"/>
      <c r="H164" s="791">
        <f>IF(H162="","",+ROUND(H162+H163,2))</f>
        <v>537.9</v>
      </c>
      <c r="I164" s="788"/>
      <c r="J164" s="788"/>
      <c r="K164" s="312"/>
      <c r="L164" s="273"/>
      <c r="M164" s="426"/>
      <c r="N164" s="791">
        <f>IF(N162="","",+ROUND(N162+N163,2))</f>
        <v>263.58999999999997</v>
      </c>
      <c r="O164" s="791"/>
      <c r="P164" s="792"/>
      <c r="Q164" s="246"/>
      <c r="R164" s="231"/>
    </row>
    <row r="165" spans="1:25" s="167" customFormat="1" ht="4" customHeight="1">
      <c r="B165" s="247"/>
      <c r="H165" s="158"/>
      <c r="I165" s="435"/>
      <c r="J165" s="435"/>
      <c r="M165" s="434"/>
      <c r="N165" s="435"/>
      <c r="O165" s="435"/>
      <c r="P165" s="158"/>
      <c r="R165" s="231"/>
    </row>
    <row r="166" spans="1:25" s="167" customFormat="1">
      <c r="A166" s="296"/>
      <c r="B166" s="804" t="s">
        <v>89</v>
      </c>
      <c r="C166" s="797"/>
      <c r="D166" s="797"/>
      <c r="E166" s="797"/>
      <c r="F166" s="797"/>
      <c r="G166" s="798"/>
      <c r="H166" s="799">
        <f>IF(H152="","",AVERAGE(H152,H158))</f>
        <v>316.94499999999999</v>
      </c>
      <c r="I166" s="585"/>
      <c r="J166" s="585"/>
      <c r="K166" s="270"/>
      <c r="L166" s="173"/>
      <c r="M166" s="164"/>
      <c r="N166" s="585">
        <f>IF(N152="","",AVERAGE(N152,N158))</f>
        <v>264.73</v>
      </c>
      <c r="O166" s="585"/>
      <c r="P166" s="586"/>
      <c r="Q166" s="171"/>
      <c r="R166" s="231"/>
    </row>
    <row r="167" spans="1:25" s="167" customFormat="1">
      <c r="A167" s="295"/>
      <c r="B167" s="471" t="s">
        <v>90</v>
      </c>
      <c r="C167" s="574"/>
      <c r="D167" s="574"/>
      <c r="E167" s="574"/>
      <c r="F167" s="574"/>
      <c r="G167" s="785"/>
      <c r="H167" s="786">
        <f>IF(H164="","",AVERAGE(H164,H166))</f>
        <v>427.42250000000001</v>
      </c>
      <c r="I167" s="574"/>
      <c r="J167" s="574"/>
      <c r="K167" s="172"/>
      <c r="L167" s="168"/>
      <c r="M167" s="429"/>
      <c r="N167" s="573">
        <f>IF(N164="","",AVERAGE(N164,N166))</f>
        <v>264.15999999999997</v>
      </c>
      <c r="O167" s="574"/>
      <c r="P167" s="575"/>
      <c r="Q167" s="231"/>
      <c r="R167" s="231"/>
    </row>
    <row r="168" spans="1:25" s="167" customFormat="1">
      <c r="A168" s="308"/>
      <c r="B168" s="812" t="s">
        <v>91</v>
      </c>
      <c r="C168" s="788"/>
      <c r="D168" s="788"/>
      <c r="E168" s="788"/>
      <c r="F168" s="788"/>
      <c r="G168" s="789"/>
      <c r="H168" s="790">
        <f>IF(H167="","",AVERAGE(H167,H164))-T32</f>
        <v>482.66125</v>
      </c>
      <c r="I168" s="788"/>
      <c r="J168" s="788"/>
      <c r="K168" s="312"/>
      <c r="L168" s="273"/>
      <c r="M168" s="426"/>
      <c r="N168" s="791">
        <f>IF(N167="","",AVERAGE(N167,N164))-T32</f>
        <v>263.875</v>
      </c>
      <c r="O168" s="788"/>
      <c r="P168" s="792"/>
      <c r="Q168" s="246"/>
      <c r="R168" s="231"/>
    </row>
    <row r="169" spans="1:25" s="167" customFormat="1" ht="6" customHeight="1">
      <c r="B169" s="247"/>
      <c r="C169" s="168"/>
      <c r="D169" s="168"/>
      <c r="E169" s="168"/>
      <c r="F169" s="168"/>
      <c r="G169" s="168"/>
      <c r="H169" s="159"/>
      <c r="I169" s="160"/>
      <c r="J169" s="160"/>
      <c r="K169" s="168"/>
      <c r="L169" s="168"/>
      <c r="M169" s="165"/>
      <c r="N169" s="813"/>
      <c r="O169" s="813"/>
      <c r="P169" s="166"/>
      <c r="Q169" s="170"/>
      <c r="R169" s="231"/>
    </row>
    <row r="170" spans="1:25" s="167" customFormat="1">
      <c r="B170" s="814" t="s">
        <v>53</v>
      </c>
      <c r="C170" s="815"/>
      <c r="D170" s="815"/>
      <c r="E170" s="815"/>
      <c r="F170" s="815"/>
      <c r="G170" s="816"/>
      <c r="H170" s="817">
        <f>+H65</f>
        <v>6502.18</v>
      </c>
      <c r="I170" s="818"/>
      <c r="J170" s="819"/>
      <c r="K170" s="366"/>
      <c r="L170" s="366"/>
      <c r="M170" s="770">
        <f>+N65</f>
        <v>4431.68</v>
      </c>
      <c r="N170" s="820"/>
      <c r="O170" s="820"/>
      <c r="P170" s="821"/>
      <c r="Q170" s="367"/>
      <c r="R170" s="231"/>
    </row>
    <row r="171" spans="1:25" s="167" customFormat="1" ht="6" customHeight="1">
      <c r="B171" s="247"/>
      <c r="H171" s="158"/>
      <c r="I171" s="158"/>
      <c r="J171" s="158"/>
      <c r="M171" s="378"/>
      <c r="R171" s="231"/>
    </row>
    <row r="172" spans="1:25" s="167" customFormat="1">
      <c r="B172" s="379" t="s">
        <v>92</v>
      </c>
      <c r="C172" s="170"/>
      <c r="D172" s="170"/>
      <c r="E172" s="170"/>
      <c r="F172" s="170"/>
      <c r="G172" s="171"/>
      <c r="H172" s="252"/>
      <c r="I172" s="158"/>
      <c r="J172" s="158"/>
      <c r="M172" s="378"/>
      <c r="R172" s="231"/>
    </row>
    <row r="173" spans="1:25" s="167" customFormat="1">
      <c r="A173" s="296"/>
      <c r="B173" s="777" t="s">
        <v>93</v>
      </c>
      <c r="C173" s="778"/>
      <c r="D173" s="778"/>
      <c r="E173" s="778"/>
      <c r="F173" s="778"/>
      <c r="G173" s="805"/>
      <c r="H173" s="822">
        <f>IF(S20="","",ROUND(+H89*IF(K89="A",1,-1)*I70*ABS(I75)*IF(K75="A",1,-1)/H86,3))</f>
        <v>98.156000000000006</v>
      </c>
      <c r="I173" s="823"/>
      <c r="J173" s="823"/>
      <c r="K173" s="270"/>
      <c r="L173" s="173"/>
      <c r="M173" s="806">
        <f>IF(N168="","",ROUND(+N89*IF(Q89="A",1,-1)*O70*ABS(O75)*IF(Q75="A",1,-1)/N86,3))</f>
        <v>-8.5449999999999999</v>
      </c>
      <c r="N173" s="797"/>
      <c r="O173" s="797"/>
      <c r="P173" s="747"/>
      <c r="Q173" s="171"/>
      <c r="R173" s="231"/>
    </row>
    <row r="174" spans="1:25" s="167" customFormat="1">
      <c r="A174" s="295"/>
      <c r="B174" s="807" t="s">
        <v>94</v>
      </c>
      <c r="C174" s="808"/>
      <c r="D174" s="808"/>
      <c r="E174" s="808"/>
      <c r="F174" s="808"/>
      <c r="G174" s="809"/>
      <c r="H174" s="810">
        <f>IF(S20="","",ROUND(((H89*H89)/100)*50*I83/H86,3))</f>
        <v>146.49600000000001</v>
      </c>
      <c r="I174" s="811"/>
      <c r="J174" s="811"/>
      <c r="K174" s="172"/>
      <c r="L174" s="168"/>
      <c r="M174" s="580">
        <f>IF(N168="","",ROUND(((N89*N89)/100)*50*O83/N86,3))</f>
        <v>9.0660000000000007</v>
      </c>
      <c r="N174" s="576"/>
      <c r="O174" s="576"/>
      <c r="P174" s="577"/>
      <c r="Q174" s="231"/>
      <c r="R174" s="231"/>
      <c r="Y174" s="380"/>
    </row>
    <row r="175" spans="1:25" s="167" customFormat="1">
      <c r="A175" s="308"/>
      <c r="B175" s="762" t="s">
        <v>95</v>
      </c>
      <c r="C175" s="827"/>
      <c r="D175" s="827"/>
      <c r="E175" s="827"/>
      <c r="F175" s="827"/>
      <c r="G175" s="828"/>
      <c r="H175" s="829">
        <f>IF(H173="","",SUM(H173+H174))</f>
        <v>244.65200000000002</v>
      </c>
      <c r="I175" s="830"/>
      <c r="J175" s="830"/>
      <c r="K175" s="312"/>
      <c r="L175" s="273"/>
      <c r="M175" s="831">
        <f>IF(M173="","",SUM(M173+M174))</f>
        <v>0.5210000000000008</v>
      </c>
      <c r="N175" s="832"/>
      <c r="O175" s="832"/>
      <c r="P175" s="833"/>
      <c r="Q175" s="246"/>
      <c r="R175" s="231"/>
    </row>
    <row r="176" spans="1:25" s="167" customFormat="1" ht="6" customHeight="1">
      <c r="B176" s="381"/>
      <c r="N176" s="834"/>
      <c r="O176" s="834"/>
      <c r="R176" s="231"/>
    </row>
    <row r="177" spans="1:25" s="167" customFormat="1">
      <c r="A177" s="382"/>
      <c r="B177" s="835" t="s">
        <v>96</v>
      </c>
      <c r="C177" s="836"/>
      <c r="D177" s="836"/>
      <c r="E177" s="836"/>
      <c r="F177" s="836"/>
      <c r="G177" s="836"/>
      <c r="H177" s="820">
        <f>IF(H170="","",H170+H175)</f>
        <v>6746.8320000000003</v>
      </c>
      <c r="I177" s="771"/>
      <c r="J177" s="771"/>
      <c r="K177" s="383"/>
      <c r="L177" s="373"/>
      <c r="M177" s="820">
        <f>IF(M170="","",M170+M175)</f>
        <v>4432.201</v>
      </c>
      <c r="N177" s="771"/>
      <c r="O177" s="771"/>
      <c r="P177" s="772"/>
      <c r="Q177" s="367"/>
      <c r="R177" s="231"/>
    </row>
    <row r="178" spans="1:25" s="167" customFormat="1" ht="6" customHeight="1">
      <c r="B178" s="247"/>
      <c r="K178" s="173"/>
      <c r="L178" s="173"/>
      <c r="M178" s="173"/>
      <c r="R178" s="231"/>
    </row>
    <row r="179" spans="1:25" s="167" customFormat="1" ht="14.25" customHeight="1">
      <c r="B179" s="471" t="s">
        <v>97</v>
      </c>
      <c r="C179" s="472"/>
      <c r="D179" s="472"/>
      <c r="E179" s="472"/>
      <c r="F179" s="472"/>
      <c r="G179" s="472"/>
      <c r="H179" s="1026">
        <v>1.0249999999999999</v>
      </c>
      <c r="I179" s="1027"/>
      <c r="J179" s="1028"/>
      <c r="K179" s="295"/>
      <c r="L179" s="168"/>
      <c r="M179" s="172"/>
      <c r="N179" s="1026">
        <v>1.0249999999999999</v>
      </c>
      <c r="O179" s="1029"/>
      <c r="P179" s="1030"/>
      <c r="R179" s="231"/>
      <c r="S179" s="427"/>
    </row>
    <row r="180" spans="1:25" s="167" customFormat="1" ht="6" customHeight="1">
      <c r="B180" s="247"/>
      <c r="R180" s="231"/>
    </row>
    <row r="181" spans="1:25" s="167" customFormat="1">
      <c r="B181" s="562" t="s">
        <v>98</v>
      </c>
      <c r="C181" s="769"/>
      <c r="D181" s="769"/>
      <c r="E181" s="769"/>
      <c r="F181" s="769"/>
      <c r="G181" s="769"/>
      <c r="H181" s="824">
        <f>IF(H177="","",+ROUND(H177*H179/K62,3))</f>
        <v>6746.8320000000003</v>
      </c>
      <c r="I181" s="825"/>
      <c r="J181" s="826"/>
      <c r="K181" s="366"/>
      <c r="L181" s="384"/>
      <c r="M181" s="824">
        <f>IF(M177="","",+ROUND(M177*N179/K62,3))</f>
        <v>4432.201</v>
      </c>
      <c r="N181" s="825"/>
      <c r="O181" s="825"/>
      <c r="P181" s="826"/>
      <c r="Q181" s="367"/>
      <c r="R181" s="231"/>
    </row>
    <row r="182" spans="1:25" s="167" customFormat="1" ht="6" customHeight="1">
      <c r="B182" s="247"/>
      <c r="K182" s="168"/>
      <c r="R182" s="231"/>
    </row>
    <row r="183" spans="1:25" s="167" customFormat="1" ht="16">
      <c r="B183" s="247"/>
      <c r="H183" s="168"/>
      <c r="M183" s="169"/>
      <c r="N183" s="170"/>
      <c r="O183" s="170"/>
      <c r="P183" s="171"/>
      <c r="Q183" s="171"/>
      <c r="R183" s="231"/>
    </row>
    <row r="184" spans="1:25" s="167" customFormat="1">
      <c r="B184" s="864" t="s">
        <v>0</v>
      </c>
      <c r="C184" s="865"/>
      <c r="D184" s="865"/>
      <c r="E184" s="865"/>
      <c r="F184" s="865"/>
      <c r="G184" s="865"/>
      <c r="H184" s="866">
        <f>IF(H170="","",H181-H144)</f>
        <v>6439.5320000000002</v>
      </c>
      <c r="I184" s="867"/>
      <c r="J184" s="868"/>
      <c r="K184" s="385"/>
      <c r="L184" s="366"/>
      <c r="M184" s="869">
        <f>IF(M170="","",M181-N144)</f>
        <v>4385.201</v>
      </c>
      <c r="N184" s="869"/>
      <c r="O184" s="869"/>
      <c r="P184" s="870"/>
      <c r="Q184" s="367"/>
      <c r="R184" s="246"/>
    </row>
    <row r="185" spans="1:25" s="167" customFormat="1">
      <c r="B185" s="386"/>
      <c r="C185" s="387"/>
      <c r="D185" s="364"/>
      <c r="E185" s="364"/>
      <c r="F185" s="364"/>
      <c r="G185" s="364"/>
      <c r="I185" s="388"/>
      <c r="J185" s="389"/>
      <c r="K185" s="389"/>
      <c r="L185" s="388"/>
    </row>
    <row r="186" spans="1:25" s="167" customFormat="1" ht="17.25" customHeight="1">
      <c r="B186" s="871" t="str">
        <f>IF(J186="","Cargo Un/Loaded",+IF((H184-M184)&lt;0,"Cargo Loaded on Board","Cargo Discharged"))</f>
        <v>Cargo Discharged</v>
      </c>
      <c r="C186" s="872"/>
      <c r="D186" s="872"/>
      <c r="E186" s="872"/>
      <c r="F186" s="872"/>
      <c r="G186" s="873"/>
      <c r="H186" s="247"/>
      <c r="I186" s="390"/>
      <c r="J186" s="874">
        <f>IF(M184="","",ABS(H184-M184))</f>
        <v>2054.3310000000001</v>
      </c>
      <c r="K186" s="874"/>
      <c r="L186" s="874"/>
      <c r="M186" s="875"/>
      <c r="N186" s="168"/>
      <c r="O186" s="296"/>
      <c r="P186" s="173"/>
      <c r="Q186" s="173"/>
      <c r="R186" s="164" t="s">
        <v>99</v>
      </c>
      <c r="S186" s="876">
        <f>IF(G32="","",G32)</f>
        <v>120</v>
      </c>
      <c r="T186" s="877"/>
    </row>
    <row r="187" spans="1:25" s="167" customFormat="1" ht="17.25" customHeight="1">
      <c r="O187" s="391"/>
      <c r="P187" s="373"/>
      <c r="Q187" s="373"/>
      <c r="R187" s="392" t="s">
        <v>100</v>
      </c>
      <c r="S187" s="855">
        <f>IF(J186="","",IF(H184-M184&lt;0,(H184-G30),(M184-G30)))</f>
        <v>3098.201</v>
      </c>
      <c r="T187" s="856"/>
    </row>
    <row r="188" spans="1:25" s="167" customFormat="1" ht="5.25" customHeight="1"/>
    <row r="189" spans="1:25" s="167" customFormat="1">
      <c r="B189" s="857" t="s">
        <v>101</v>
      </c>
      <c r="C189" s="858"/>
      <c r="D189" s="858"/>
      <c r="E189" s="858"/>
      <c r="F189" s="858"/>
      <c r="G189" s="858"/>
      <c r="H189" s="858"/>
      <c r="I189" s="858"/>
      <c r="J189" s="858"/>
      <c r="K189" s="858"/>
      <c r="L189" s="858"/>
      <c r="M189" s="858"/>
      <c r="N189" s="858"/>
      <c r="O189" s="858"/>
      <c r="P189" s="858"/>
      <c r="Q189" s="858"/>
      <c r="R189" s="858"/>
      <c r="S189" s="858"/>
      <c r="T189" s="858"/>
      <c r="U189" s="858"/>
      <c r="V189" s="858"/>
      <c r="W189" s="858"/>
      <c r="X189" s="858"/>
      <c r="Y189" s="859"/>
    </row>
    <row r="190" spans="1:25" s="167" customFormat="1" ht="14.25" customHeight="1">
      <c r="A190" s="295" t="s">
        <v>227</v>
      </c>
      <c r="B190" s="778"/>
      <c r="C190" s="778"/>
      <c r="D190" s="778"/>
      <c r="E190" s="778"/>
      <c r="F190" s="778"/>
      <c r="G190" s="778"/>
      <c r="H190" s="778"/>
      <c r="I190" s="778"/>
      <c r="J190" s="778"/>
      <c r="K190" s="778"/>
      <c r="L190" s="778"/>
      <c r="M190" s="778"/>
      <c r="N190" s="778"/>
      <c r="O190" s="778"/>
      <c r="P190" s="778"/>
      <c r="Q190" s="778"/>
      <c r="R190" s="778"/>
      <c r="S190" s="778"/>
      <c r="T190" s="778"/>
      <c r="U190" s="778"/>
      <c r="V190" s="778"/>
      <c r="W190" s="778"/>
      <c r="X190" s="778"/>
      <c r="Y190" s="860"/>
    </row>
    <row r="191" spans="1:25" s="167" customFormat="1" ht="14.25" customHeight="1">
      <c r="A191" s="295" t="s">
        <v>228</v>
      </c>
      <c r="B191" s="837"/>
      <c r="C191" s="838"/>
      <c r="D191" s="838"/>
      <c r="E191" s="838"/>
      <c r="F191" s="838"/>
      <c r="G191" s="838"/>
      <c r="H191" s="838"/>
      <c r="I191" s="838"/>
      <c r="J191" s="838"/>
      <c r="K191" s="838"/>
      <c r="L191" s="838"/>
      <c r="M191" s="838"/>
      <c r="N191" s="838"/>
      <c r="O191" s="838"/>
      <c r="P191" s="838"/>
      <c r="Q191" s="838"/>
      <c r="R191" s="838"/>
      <c r="S191" s="838"/>
      <c r="T191" s="838"/>
      <c r="U191" s="838"/>
      <c r="V191" s="838"/>
      <c r="W191" s="838"/>
      <c r="X191" s="838"/>
      <c r="Y191" s="839"/>
    </row>
    <row r="192" spans="1:25" s="167" customFormat="1" ht="14.25" customHeight="1">
      <c r="A192" s="295" t="s">
        <v>215</v>
      </c>
      <c r="B192" s="837"/>
      <c r="C192" s="838"/>
      <c r="D192" s="838"/>
      <c r="E192" s="838"/>
      <c r="F192" s="838"/>
      <c r="G192" s="838"/>
      <c r="H192" s="838"/>
      <c r="I192" s="838"/>
      <c r="J192" s="838"/>
      <c r="K192" s="838"/>
      <c r="L192" s="838"/>
      <c r="M192" s="838"/>
      <c r="N192" s="838"/>
      <c r="O192" s="838"/>
      <c r="P192" s="838"/>
      <c r="Q192" s="838"/>
      <c r="R192" s="838"/>
      <c r="S192" s="838"/>
      <c r="T192" s="838"/>
      <c r="U192" s="838"/>
      <c r="V192" s="838"/>
      <c r="W192" s="838"/>
      <c r="X192" s="838"/>
      <c r="Y192" s="839"/>
    </row>
    <row r="193" spans="1:29" s="167" customFormat="1">
      <c r="A193" s="295"/>
      <c r="B193" s="168"/>
      <c r="C193" s="168"/>
      <c r="D193" s="168"/>
      <c r="E193" s="168"/>
      <c r="F193" s="168"/>
      <c r="G193" s="168"/>
      <c r="H193" s="393"/>
      <c r="I193" s="393"/>
      <c r="J193" s="394"/>
      <c r="K193" s="395"/>
      <c r="L193" s="359"/>
      <c r="M193" s="168"/>
      <c r="N193" s="168"/>
      <c r="O193" s="168"/>
      <c r="P193" s="168"/>
      <c r="Q193" s="168"/>
      <c r="R193" s="168"/>
      <c r="S193" s="394"/>
      <c r="T193" s="168"/>
      <c r="U193" s="168"/>
      <c r="V193" s="168"/>
      <c r="W193" s="396"/>
      <c r="X193" s="168"/>
      <c r="Y193" s="172"/>
    </row>
    <row r="194" spans="1:29" s="167" customFormat="1" ht="16">
      <c r="A194" s="172"/>
      <c r="B194" s="296"/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270"/>
      <c r="Z194" s="168"/>
      <c r="AA194" s="168"/>
    </row>
    <row r="195" spans="1:29" s="167" customFormat="1" ht="16">
      <c r="B195" s="397"/>
      <c r="C195" s="398"/>
      <c r="D195" s="398"/>
      <c r="E195" s="398"/>
      <c r="F195" s="398"/>
      <c r="G195" s="399"/>
      <c r="H195" s="398"/>
      <c r="I195" s="398"/>
      <c r="J195" s="398"/>
      <c r="K195" s="168"/>
      <c r="L195" s="168"/>
      <c r="M195" s="168"/>
      <c r="N195" s="168"/>
      <c r="O195" s="168"/>
      <c r="P195" s="168"/>
      <c r="Q195" s="296"/>
      <c r="R195" s="173"/>
      <c r="S195" s="400"/>
      <c r="T195" s="173"/>
      <c r="U195" s="173"/>
      <c r="V195" s="173"/>
      <c r="W195" s="401"/>
      <c r="X195" s="270"/>
      <c r="Y195" s="172"/>
      <c r="Z195" s="168"/>
    </row>
    <row r="196" spans="1:29" s="167" customFormat="1" ht="16">
      <c r="B196" s="295"/>
      <c r="C196" s="168"/>
      <c r="D196" s="168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402"/>
      <c r="R196" s="170" t="s">
        <v>102</v>
      </c>
      <c r="S196" s="170"/>
      <c r="T196" s="170"/>
      <c r="U196" s="170"/>
      <c r="V196" s="170"/>
      <c r="W196" s="170"/>
      <c r="X196" s="384"/>
      <c r="Y196" s="384"/>
      <c r="Z196" s="168"/>
    </row>
    <row r="197" spans="1:29" s="167" customFormat="1" ht="16.5" customHeight="1">
      <c r="B197" s="403"/>
      <c r="C197" s="168"/>
      <c r="D197" s="404" t="s">
        <v>103</v>
      </c>
      <c r="E197" s="861" t="str">
        <f>IF(J186="","",IF(H201-L201&lt;0,"Chargement","Déchargement"))</f>
        <v>Déchargement</v>
      </c>
      <c r="F197" s="862"/>
      <c r="G197" s="862"/>
      <c r="H197" s="863"/>
      <c r="I197" s="168"/>
      <c r="J197" s="168"/>
      <c r="K197" s="168"/>
      <c r="L197" s="168"/>
      <c r="M197" s="168"/>
      <c r="N197" s="168"/>
      <c r="O197" s="168"/>
      <c r="P197" s="168"/>
      <c r="Q197" s="295"/>
      <c r="R197" s="296"/>
      <c r="S197" s="405"/>
      <c r="T197" s="327"/>
      <c r="U197" s="172"/>
      <c r="V197" s="296"/>
      <c r="W197" s="406"/>
      <c r="X197" s="297"/>
      <c r="Y197" s="172"/>
      <c r="Z197" s="168"/>
    </row>
    <row r="198" spans="1:29" s="167" customFormat="1" ht="16">
      <c r="B198" s="295"/>
      <c r="C198" s="168"/>
      <c r="D198" s="168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295"/>
      <c r="R198" s="295"/>
      <c r="S198" s="172"/>
      <c r="T198" s="168"/>
      <c r="U198" s="172"/>
      <c r="V198" s="295"/>
      <c r="W198" s="172"/>
      <c r="X198" s="172"/>
      <c r="Y198" s="172"/>
      <c r="Z198" s="168"/>
    </row>
    <row r="199" spans="1:29" s="167" customFormat="1">
      <c r="B199" s="295"/>
      <c r="C199" s="407"/>
      <c r="D199" s="168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295"/>
      <c r="R199" s="308"/>
      <c r="S199" s="408"/>
      <c r="T199" s="168"/>
      <c r="U199" s="172"/>
      <c r="V199" s="308"/>
      <c r="W199" s="409"/>
      <c r="X199" s="172"/>
      <c r="Y199" s="172"/>
      <c r="Z199" s="168"/>
      <c r="AA199" s="168"/>
      <c r="AC199" s="168"/>
    </row>
    <row r="200" spans="1:29" s="167" customFormat="1" ht="16.5" customHeight="1">
      <c r="B200" s="295"/>
      <c r="C200" s="168"/>
      <c r="D200" s="168"/>
      <c r="E200" s="168"/>
      <c r="F200" s="168"/>
      <c r="G200" s="168"/>
      <c r="H200" s="850" t="s">
        <v>2</v>
      </c>
      <c r="I200" s="850"/>
      <c r="J200" s="850"/>
      <c r="K200" s="850"/>
      <c r="L200" s="850" t="s">
        <v>3</v>
      </c>
      <c r="M200" s="850"/>
      <c r="N200" s="850"/>
      <c r="O200" s="850"/>
      <c r="P200" s="168"/>
      <c r="Q200" s="295"/>
      <c r="R200" s="808" t="s">
        <v>104</v>
      </c>
      <c r="S200" s="808"/>
      <c r="T200" s="808"/>
      <c r="U200" s="168"/>
      <c r="V200" s="808" t="s">
        <v>105</v>
      </c>
      <c r="W200" s="808"/>
      <c r="X200" s="851"/>
      <c r="Y200" s="172"/>
      <c r="Z200" s="168"/>
      <c r="AA200" s="168"/>
    </row>
    <row r="201" spans="1:29" s="167" customFormat="1" ht="16.5" customHeight="1">
      <c r="B201" s="295"/>
      <c r="C201" s="410" t="s">
        <v>106</v>
      </c>
      <c r="D201" s="411"/>
      <c r="E201" s="411"/>
      <c r="F201" s="411"/>
      <c r="G201" s="411"/>
      <c r="H201" s="844">
        <f>I60</f>
        <v>482.66</v>
      </c>
      <c r="I201" s="845"/>
      <c r="J201" s="845"/>
      <c r="K201" s="846"/>
      <c r="L201" s="852">
        <f>O60</f>
        <v>263.88</v>
      </c>
      <c r="M201" s="853"/>
      <c r="N201" s="853"/>
      <c r="O201" s="854"/>
      <c r="P201" s="168"/>
      <c r="Q201" s="295"/>
      <c r="R201" s="168"/>
      <c r="S201" s="394"/>
      <c r="T201" s="168"/>
      <c r="U201" s="168"/>
      <c r="V201" s="168"/>
      <c r="W201" s="396"/>
      <c r="X201" s="172"/>
      <c r="Y201" s="172"/>
      <c r="Z201" s="168"/>
      <c r="AA201" s="168"/>
      <c r="AC201" s="168"/>
    </row>
    <row r="202" spans="1:29" s="167" customFormat="1" ht="16.5" customHeight="1">
      <c r="B202" s="295"/>
      <c r="C202" s="412" t="s">
        <v>107</v>
      </c>
      <c r="D202" s="366"/>
      <c r="E202" s="366"/>
      <c r="F202" s="366"/>
      <c r="G202" s="366"/>
      <c r="H202" s="841">
        <f>IF(H201="","",ABS(AVERAGE(H152,H158)-H164))</f>
        <v>220.95499999999998</v>
      </c>
      <c r="I202" s="842"/>
      <c r="J202" s="842"/>
      <c r="K202" s="843"/>
      <c r="L202" s="844">
        <f>IF(L201="","",ABS(AVERAGE(N152,N158)-N164))</f>
        <v>1.1400000000000432</v>
      </c>
      <c r="M202" s="845"/>
      <c r="N202" s="845"/>
      <c r="O202" s="846"/>
      <c r="P202" s="168"/>
      <c r="Q202" s="295"/>
      <c r="R202" s="168" t="s">
        <v>108</v>
      </c>
      <c r="S202" s="168"/>
      <c r="T202" s="168"/>
      <c r="U202" s="168"/>
      <c r="V202" s="168"/>
      <c r="W202" s="168"/>
      <c r="X202" s="172"/>
      <c r="Y202" s="172"/>
      <c r="Z202" s="168"/>
      <c r="AA202" s="168"/>
    </row>
    <row r="203" spans="1:29" s="167" customFormat="1" ht="16.5" customHeight="1">
      <c r="B203" s="295"/>
      <c r="C203" s="413" t="s">
        <v>109</v>
      </c>
      <c r="D203" s="414"/>
      <c r="E203" s="414"/>
      <c r="F203" s="414"/>
      <c r="G203" s="415"/>
      <c r="H203" s="847" t="str">
        <f>IF(H201="","",IF(AVERAGE(H152,H158)-H164&gt;0,"Hog",IF(AVERAGE(H152,H158)-H164&lt;0,"Sag",N/A)))</f>
        <v>Sag</v>
      </c>
      <c r="I203" s="848"/>
      <c r="J203" s="848"/>
      <c r="K203" s="849"/>
      <c r="L203" s="847" t="str">
        <f>IF(L201="","",IF(AVERAGE(N152,N158)-N164&gt;0,"Hog","Sag"))</f>
        <v>Hog</v>
      </c>
      <c r="M203" s="848"/>
      <c r="N203" s="848"/>
      <c r="O203" s="849"/>
      <c r="P203" s="168"/>
      <c r="Q203" s="295"/>
      <c r="R203" s="416" t="s">
        <v>110</v>
      </c>
      <c r="S203" s="394"/>
      <c r="T203" s="168"/>
      <c r="U203" s="168" t="s">
        <v>111</v>
      </c>
      <c r="V203" s="168"/>
      <c r="W203" s="396"/>
      <c r="X203" s="172"/>
      <c r="Y203" s="172"/>
      <c r="Z203" s="168"/>
      <c r="AA203" s="168"/>
    </row>
    <row r="204" spans="1:29" s="167" customFormat="1" ht="15" customHeight="1">
      <c r="B204" s="295"/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8"/>
      <c r="R204" s="417" t="s">
        <v>112</v>
      </c>
      <c r="S204" s="273"/>
      <c r="T204" s="273"/>
      <c r="U204" s="329" t="s">
        <v>113</v>
      </c>
      <c r="V204" s="329"/>
      <c r="W204" s="329"/>
      <c r="X204" s="312"/>
      <c r="Y204" s="418"/>
      <c r="Z204" s="168"/>
      <c r="AA204" s="168"/>
    </row>
    <row r="205" spans="1:29" s="167" customFormat="1" ht="15" customHeight="1">
      <c r="B205" s="295"/>
      <c r="C205" s="168"/>
      <c r="D205" s="398"/>
      <c r="E205" s="398"/>
      <c r="F205" s="39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394"/>
      <c r="T205" s="168"/>
      <c r="U205" s="168"/>
      <c r="V205" s="168"/>
      <c r="W205" s="396"/>
      <c r="X205" s="168"/>
      <c r="Y205" s="172"/>
      <c r="Z205" s="168"/>
      <c r="AA205" s="168"/>
    </row>
    <row r="206" spans="1:29" s="167" customFormat="1" ht="16">
      <c r="B206" s="308"/>
      <c r="C206" s="273"/>
      <c r="D206" s="273"/>
      <c r="E206" s="273"/>
      <c r="F206" s="273"/>
      <c r="G206" s="273"/>
      <c r="H206" s="273"/>
      <c r="I206" s="273"/>
      <c r="J206" s="273"/>
      <c r="K206" s="273"/>
      <c r="L206" s="273"/>
      <c r="M206" s="273"/>
      <c r="N206" s="273"/>
      <c r="O206" s="273"/>
      <c r="P206" s="273"/>
      <c r="Q206" s="273"/>
      <c r="R206" s="273"/>
      <c r="S206" s="273"/>
      <c r="T206" s="273"/>
      <c r="U206" s="273"/>
      <c r="V206" s="273"/>
      <c r="W206" s="273"/>
      <c r="X206" s="273"/>
      <c r="Y206" s="312"/>
      <c r="Z206" s="168"/>
      <c r="AA206" s="168"/>
    </row>
    <row r="207" spans="1:29" s="167" customFormat="1" ht="16">
      <c r="S207" s="419"/>
      <c r="W207" s="420"/>
    </row>
    <row r="208" spans="1:29" s="167" customFormat="1" ht="16"/>
    <row r="209" spans="6:6" s="167" customFormat="1" ht="16">
      <c r="F209" s="419"/>
    </row>
    <row r="210" spans="6:6" s="167" customFormat="1" ht="16"/>
    <row r="211" spans="6:6" s="167" customFormat="1" ht="16"/>
    <row r="212" spans="6:6" s="167" customFormat="1" ht="16"/>
    <row r="213" spans="6:6" s="167" customFormat="1" ht="16"/>
    <row r="214" spans="6:6" s="167" customFormat="1" ht="16"/>
    <row r="215" spans="6:6" s="167" customFormat="1" ht="16"/>
  </sheetData>
  <sheetProtection algorithmName="SHA-512" hashValue="hQoPkZMTNZm4oRG111oxA97ZN76MgSEJkUHxioUqZGPDBp2hy5DIBeXEfRFRUrB6aVWwU1+2+unNxIkUlqnhFQ==" saltValue="Eqf3X2znEMLWafH8isvAUw==" spinCount="100000" sheet="1" objects="1" scenarios="1"/>
  <protectedRanges>
    <protectedRange password="8658" sqref="N151:N153" name="Plage2"/>
    <protectedRange password="8658" sqref="H151:H152 I153" name="Plage1"/>
    <protectedRange password="E509" sqref="B166:G168" name="Plage1_1"/>
    <protectedRange password="E509" sqref="S187:T187" name="Plage1_2"/>
    <protectedRange password="E509" sqref="D128:D131 F128:F131 H128:H131 P128:P131 F94:F123 D94:D123 H94:H123" name="Plage1_3"/>
    <protectedRange password="E509" sqref="N94:N123 L94:L123 N128:N131 L128:L131 P94:P123" name="Plage1_4"/>
    <protectedRange password="E509" sqref="N135:N137 B135:C137" name="Plage4"/>
  </protectedRanges>
  <mergeCells count="653">
    <mergeCell ref="B191:Y191"/>
    <mergeCell ref="B192:Y192"/>
    <mergeCell ref="AE1:AF1"/>
    <mergeCell ref="H202:K202"/>
    <mergeCell ref="L202:O202"/>
    <mergeCell ref="H203:K203"/>
    <mergeCell ref="L203:O203"/>
    <mergeCell ref="H200:K200"/>
    <mergeCell ref="L200:O200"/>
    <mergeCell ref="R200:T200"/>
    <mergeCell ref="V200:X200"/>
    <mergeCell ref="H201:K201"/>
    <mergeCell ref="L201:O201"/>
    <mergeCell ref="S187:T187"/>
    <mergeCell ref="B189:Y189"/>
    <mergeCell ref="B190:Y190"/>
    <mergeCell ref="E197:H197"/>
    <mergeCell ref="B184:G184"/>
    <mergeCell ref="H184:J184"/>
    <mergeCell ref="M184:P184"/>
    <mergeCell ref="B186:G186"/>
    <mergeCell ref="J186:M186"/>
    <mergeCell ref="S186:T186"/>
    <mergeCell ref="B179:G179"/>
    <mergeCell ref="H179:J179"/>
    <mergeCell ref="N179:P179"/>
    <mergeCell ref="B181:G181"/>
    <mergeCell ref="H181:J181"/>
    <mergeCell ref="M181:P181"/>
    <mergeCell ref="B175:G175"/>
    <mergeCell ref="H175:J175"/>
    <mergeCell ref="M175:P175"/>
    <mergeCell ref="N176:O176"/>
    <mergeCell ref="B177:G177"/>
    <mergeCell ref="H177:J177"/>
    <mergeCell ref="M177:P177"/>
    <mergeCell ref="B173:G173"/>
    <mergeCell ref="M173:P173"/>
    <mergeCell ref="B174:G174"/>
    <mergeCell ref="H174:J174"/>
    <mergeCell ref="M174:P174"/>
    <mergeCell ref="B168:G168"/>
    <mergeCell ref="H168:J168"/>
    <mergeCell ref="N168:P168"/>
    <mergeCell ref="N169:O169"/>
    <mergeCell ref="B170:G170"/>
    <mergeCell ref="H170:J170"/>
    <mergeCell ref="M170:P170"/>
    <mergeCell ref="H173:J173"/>
    <mergeCell ref="B166:G166"/>
    <mergeCell ref="H166:J166"/>
    <mergeCell ref="N166:P166"/>
    <mergeCell ref="B167:G167"/>
    <mergeCell ref="H167:J167"/>
    <mergeCell ref="N167:P167"/>
    <mergeCell ref="C163:G163"/>
    <mergeCell ref="H163:J163"/>
    <mergeCell ref="N163:P163"/>
    <mergeCell ref="C164:G164"/>
    <mergeCell ref="H164:J164"/>
    <mergeCell ref="N164:P164"/>
    <mergeCell ref="B160:B164"/>
    <mergeCell ref="C160:G160"/>
    <mergeCell ref="H160:J160"/>
    <mergeCell ref="N160:P160"/>
    <mergeCell ref="C161:G161"/>
    <mergeCell ref="H161:J161"/>
    <mergeCell ref="N161:P161"/>
    <mergeCell ref="C162:G162"/>
    <mergeCell ref="H162:J162"/>
    <mergeCell ref="N162:P162"/>
    <mergeCell ref="C157:G157"/>
    <mergeCell ref="H157:J157"/>
    <mergeCell ref="N157:P157"/>
    <mergeCell ref="C158:G158"/>
    <mergeCell ref="H158:J158"/>
    <mergeCell ref="N158:P158"/>
    <mergeCell ref="B154:B158"/>
    <mergeCell ref="C154:G154"/>
    <mergeCell ref="H154:J154"/>
    <mergeCell ref="N154:P154"/>
    <mergeCell ref="C155:G155"/>
    <mergeCell ref="H155:J155"/>
    <mergeCell ref="N155:P155"/>
    <mergeCell ref="C156:G156"/>
    <mergeCell ref="H156:J156"/>
    <mergeCell ref="N156:P156"/>
    <mergeCell ref="C151:G151"/>
    <mergeCell ref="H151:J151"/>
    <mergeCell ref="N151:P151"/>
    <mergeCell ref="C152:G152"/>
    <mergeCell ref="H152:J152"/>
    <mergeCell ref="N152:P152"/>
    <mergeCell ref="B148:B152"/>
    <mergeCell ref="C148:G148"/>
    <mergeCell ref="H148:J148"/>
    <mergeCell ref="N148:P148"/>
    <mergeCell ref="C149:G149"/>
    <mergeCell ref="H149:J149"/>
    <mergeCell ref="N149:P149"/>
    <mergeCell ref="C150:G150"/>
    <mergeCell ref="H150:J150"/>
    <mergeCell ref="N150:P150"/>
    <mergeCell ref="B141:C141"/>
    <mergeCell ref="D141:F141"/>
    <mergeCell ref="H141:J141"/>
    <mergeCell ref="N141:P141"/>
    <mergeCell ref="B144:G144"/>
    <mergeCell ref="H144:J144"/>
    <mergeCell ref="N144:P144"/>
    <mergeCell ref="B138:G138"/>
    <mergeCell ref="H138:J138"/>
    <mergeCell ref="N138:P138"/>
    <mergeCell ref="B140:G140"/>
    <mergeCell ref="H140:J140"/>
    <mergeCell ref="N140:P140"/>
    <mergeCell ref="B136:G136"/>
    <mergeCell ref="H136:J136"/>
    <mergeCell ref="N136:P136"/>
    <mergeCell ref="B137:G137"/>
    <mergeCell ref="H137:J137"/>
    <mergeCell ref="N137:P137"/>
    <mergeCell ref="N131:O131"/>
    <mergeCell ref="P131:Q131"/>
    <mergeCell ref="R131:S131"/>
    <mergeCell ref="J132:K132"/>
    <mergeCell ref="R132:S132"/>
    <mergeCell ref="B135:G135"/>
    <mergeCell ref="H135:J135"/>
    <mergeCell ref="N135:P135"/>
    <mergeCell ref="B131:C131"/>
    <mergeCell ref="D131:E131"/>
    <mergeCell ref="F131:G131"/>
    <mergeCell ref="H131:I131"/>
    <mergeCell ref="J131:K131"/>
    <mergeCell ref="L131:M131"/>
    <mergeCell ref="B130:C130"/>
    <mergeCell ref="D130:E130"/>
    <mergeCell ref="F130:G130"/>
    <mergeCell ref="H130:I130"/>
    <mergeCell ref="J130:K130"/>
    <mergeCell ref="L130:M130"/>
    <mergeCell ref="N130:O130"/>
    <mergeCell ref="P130:Q130"/>
    <mergeCell ref="R130:S130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R129:S129"/>
    <mergeCell ref="N127:O127"/>
    <mergeCell ref="P127:Q127"/>
    <mergeCell ref="R127:S127"/>
    <mergeCell ref="B128:C128"/>
    <mergeCell ref="D128:E128"/>
    <mergeCell ref="F128:G128"/>
    <mergeCell ref="H128:I128"/>
    <mergeCell ref="J128:K128"/>
    <mergeCell ref="L128:M128"/>
    <mergeCell ref="N128:O128"/>
    <mergeCell ref="B127:C127"/>
    <mergeCell ref="D127:E127"/>
    <mergeCell ref="F127:G127"/>
    <mergeCell ref="H127:I127"/>
    <mergeCell ref="J127:K127"/>
    <mergeCell ref="L127:M127"/>
    <mergeCell ref="P128:Q128"/>
    <mergeCell ref="R128:S128"/>
    <mergeCell ref="R123:S123"/>
    <mergeCell ref="F124:G124"/>
    <mergeCell ref="J124:K124"/>
    <mergeCell ref="N124:O124"/>
    <mergeCell ref="R124:S124"/>
    <mergeCell ref="K126:L126"/>
    <mergeCell ref="P122:Q122"/>
    <mergeCell ref="R122:S122"/>
    <mergeCell ref="B123:C123"/>
    <mergeCell ref="D123:E123"/>
    <mergeCell ref="F123:G123"/>
    <mergeCell ref="H123:I123"/>
    <mergeCell ref="J123:K123"/>
    <mergeCell ref="L123:M123"/>
    <mergeCell ref="N123:O123"/>
    <mergeCell ref="P123:Q123"/>
    <mergeCell ref="N121:O121"/>
    <mergeCell ref="P121:Q121"/>
    <mergeCell ref="R121:S121"/>
    <mergeCell ref="B122:C122"/>
    <mergeCell ref="D122:E122"/>
    <mergeCell ref="F122:G122"/>
    <mergeCell ref="H122:I122"/>
    <mergeCell ref="J122:K122"/>
    <mergeCell ref="L122:M122"/>
    <mergeCell ref="N122:O122"/>
    <mergeCell ref="B121:C121"/>
    <mergeCell ref="D121:E121"/>
    <mergeCell ref="F121:G121"/>
    <mergeCell ref="H121:I121"/>
    <mergeCell ref="J121:K121"/>
    <mergeCell ref="L121:M121"/>
    <mergeCell ref="B120:C120"/>
    <mergeCell ref="D120:E120"/>
    <mergeCell ref="F120:G120"/>
    <mergeCell ref="H120:I120"/>
    <mergeCell ref="J120:K120"/>
    <mergeCell ref="L120:M120"/>
    <mergeCell ref="N120:O120"/>
    <mergeCell ref="P120:Q120"/>
    <mergeCell ref="R120:S120"/>
    <mergeCell ref="B119:C119"/>
    <mergeCell ref="D119:E119"/>
    <mergeCell ref="F119:G119"/>
    <mergeCell ref="H119:I119"/>
    <mergeCell ref="J119:K119"/>
    <mergeCell ref="L119:M119"/>
    <mergeCell ref="N119:O119"/>
    <mergeCell ref="P119:Q119"/>
    <mergeCell ref="R119:S119"/>
    <mergeCell ref="N117:O117"/>
    <mergeCell ref="P117:Q117"/>
    <mergeCell ref="R117:S117"/>
    <mergeCell ref="B118:C118"/>
    <mergeCell ref="D118:E118"/>
    <mergeCell ref="F118:G118"/>
    <mergeCell ref="H118:I118"/>
    <mergeCell ref="J118:K118"/>
    <mergeCell ref="L118:M118"/>
    <mergeCell ref="N118:O118"/>
    <mergeCell ref="B117:C117"/>
    <mergeCell ref="D117:E117"/>
    <mergeCell ref="F117:G117"/>
    <mergeCell ref="H117:I117"/>
    <mergeCell ref="J117:K117"/>
    <mergeCell ref="L117:M117"/>
    <mergeCell ref="P118:Q118"/>
    <mergeCell ref="R118:S118"/>
    <mergeCell ref="B116:C116"/>
    <mergeCell ref="D116:E116"/>
    <mergeCell ref="F116:G116"/>
    <mergeCell ref="H116:I116"/>
    <mergeCell ref="J116:K116"/>
    <mergeCell ref="L116:M116"/>
    <mergeCell ref="N116:O116"/>
    <mergeCell ref="P116:Q116"/>
    <mergeCell ref="R116:S116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R115:S115"/>
    <mergeCell ref="AC110:AD110"/>
    <mergeCell ref="N113:O113"/>
    <mergeCell ref="P113:Q113"/>
    <mergeCell ref="R113:S113"/>
    <mergeCell ref="B114:C114"/>
    <mergeCell ref="D114:E114"/>
    <mergeCell ref="F114:G114"/>
    <mergeCell ref="H114:I114"/>
    <mergeCell ref="J114:K114"/>
    <mergeCell ref="L114:M114"/>
    <mergeCell ref="N114:O114"/>
    <mergeCell ref="B113:C113"/>
    <mergeCell ref="D113:E113"/>
    <mergeCell ref="F113:G113"/>
    <mergeCell ref="H113:I113"/>
    <mergeCell ref="J113:K113"/>
    <mergeCell ref="L113:M113"/>
    <mergeCell ref="P114:Q114"/>
    <mergeCell ref="R114:S114"/>
    <mergeCell ref="R109:S109"/>
    <mergeCell ref="V109:X109"/>
    <mergeCell ref="Y109:Z109"/>
    <mergeCell ref="AA109:AB109"/>
    <mergeCell ref="AC109:AD109"/>
    <mergeCell ref="B112:C112"/>
    <mergeCell ref="D112:E112"/>
    <mergeCell ref="F112:G112"/>
    <mergeCell ref="H112:I112"/>
    <mergeCell ref="J112:K112"/>
    <mergeCell ref="L112:M112"/>
    <mergeCell ref="V110:X110"/>
    <mergeCell ref="Y110:Z110"/>
    <mergeCell ref="AA110:AB110"/>
    <mergeCell ref="N112:O112"/>
    <mergeCell ref="P112:Q112"/>
    <mergeCell ref="R112:S112"/>
    <mergeCell ref="V112:X112"/>
    <mergeCell ref="Y112:Z112"/>
    <mergeCell ref="AB112:AC112"/>
    <mergeCell ref="L111:M111"/>
    <mergeCell ref="N111:O111"/>
    <mergeCell ref="P111:Q111"/>
    <mergeCell ref="R111:S111"/>
    <mergeCell ref="B109:C109"/>
    <mergeCell ref="D109:E109"/>
    <mergeCell ref="F109:G109"/>
    <mergeCell ref="H109:I109"/>
    <mergeCell ref="J109:K109"/>
    <mergeCell ref="L109:M109"/>
    <mergeCell ref="N109:O109"/>
    <mergeCell ref="AG110:AH110"/>
    <mergeCell ref="B111:C111"/>
    <mergeCell ref="D111:E111"/>
    <mergeCell ref="F111:G111"/>
    <mergeCell ref="H111:I111"/>
    <mergeCell ref="J111:K111"/>
    <mergeCell ref="AG109:AH109"/>
    <mergeCell ref="B110:C110"/>
    <mergeCell ref="D110:E110"/>
    <mergeCell ref="F110:G110"/>
    <mergeCell ref="H110:I110"/>
    <mergeCell ref="J110:K110"/>
    <mergeCell ref="L110:M110"/>
    <mergeCell ref="N110:O110"/>
    <mergeCell ref="P110:Q110"/>
    <mergeCell ref="R110:S110"/>
    <mergeCell ref="P109:Q109"/>
    <mergeCell ref="AA106:AD106"/>
    <mergeCell ref="B107:C107"/>
    <mergeCell ref="D107:E107"/>
    <mergeCell ref="F107:G107"/>
    <mergeCell ref="H107:I107"/>
    <mergeCell ref="J107:K107"/>
    <mergeCell ref="B108:C108"/>
    <mergeCell ref="D108:E108"/>
    <mergeCell ref="F108:G108"/>
    <mergeCell ref="H108:I108"/>
    <mergeCell ref="J108:K108"/>
    <mergeCell ref="L108:M108"/>
    <mergeCell ref="N108:O108"/>
    <mergeCell ref="P108:Q108"/>
    <mergeCell ref="R108:S108"/>
    <mergeCell ref="L107:M107"/>
    <mergeCell ref="N107:O107"/>
    <mergeCell ref="P107:Q107"/>
    <mergeCell ref="R107:S107"/>
    <mergeCell ref="AA107:AB107"/>
    <mergeCell ref="AC107:AD107"/>
    <mergeCell ref="AA108:AB108"/>
    <mergeCell ref="AC108:AD108"/>
    <mergeCell ref="B106:C106"/>
    <mergeCell ref="D106:E106"/>
    <mergeCell ref="F106:G106"/>
    <mergeCell ref="H106:I106"/>
    <mergeCell ref="J106:K106"/>
    <mergeCell ref="L106:M106"/>
    <mergeCell ref="N106:O106"/>
    <mergeCell ref="P106:Q106"/>
    <mergeCell ref="R106:S106"/>
    <mergeCell ref="P103:Q103"/>
    <mergeCell ref="R103:S103"/>
    <mergeCell ref="AF104:AG104"/>
    <mergeCell ref="B105:C105"/>
    <mergeCell ref="D105:E105"/>
    <mergeCell ref="F105:G105"/>
    <mergeCell ref="H105:I105"/>
    <mergeCell ref="J105:K105"/>
    <mergeCell ref="L105:M105"/>
    <mergeCell ref="N105:O105"/>
    <mergeCell ref="P105:Q105"/>
    <mergeCell ref="R105:S105"/>
    <mergeCell ref="V105:X105"/>
    <mergeCell ref="Y105:Z105"/>
    <mergeCell ref="AF105:AG105"/>
    <mergeCell ref="B104:C104"/>
    <mergeCell ref="D104:E104"/>
    <mergeCell ref="F104:G104"/>
    <mergeCell ref="H104:I104"/>
    <mergeCell ref="J104:K104"/>
    <mergeCell ref="L104:M104"/>
    <mergeCell ref="N104:O104"/>
    <mergeCell ref="P104:Q104"/>
    <mergeCell ref="R104:S104"/>
    <mergeCell ref="B103:C103"/>
    <mergeCell ref="D103:E103"/>
    <mergeCell ref="F103:G103"/>
    <mergeCell ref="H103:I103"/>
    <mergeCell ref="J103:K103"/>
    <mergeCell ref="L103:M103"/>
    <mergeCell ref="N103:O103"/>
    <mergeCell ref="B102:C102"/>
    <mergeCell ref="D102:E102"/>
    <mergeCell ref="F102:G102"/>
    <mergeCell ref="H102:I102"/>
    <mergeCell ref="J102:K102"/>
    <mergeCell ref="L102:M102"/>
    <mergeCell ref="N100:O100"/>
    <mergeCell ref="P100:Q100"/>
    <mergeCell ref="R100:S100"/>
    <mergeCell ref="B100:C100"/>
    <mergeCell ref="D100:E100"/>
    <mergeCell ref="F100:G100"/>
    <mergeCell ref="H100:I100"/>
    <mergeCell ref="J100:K100"/>
    <mergeCell ref="N102:O102"/>
    <mergeCell ref="P102:Q102"/>
    <mergeCell ref="R102:S102"/>
    <mergeCell ref="B98:C98"/>
    <mergeCell ref="D98:E98"/>
    <mergeCell ref="F98:G98"/>
    <mergeCell ref="H98:I98"/>
    <mergeCell ref="J98:K98"/>
    <mergeCell ref="L98:M98"/>
    <mergeCell ref="N98:O98"/>
    <mergeCell ref="AC99:AD99"/>
    <mergeCell ref="B101:C101"/>
    <mergeCell ref="D101:E101"/>
    <mergeCell ref="F101:G101"/>
    <mergeCell ref="H101:I101"/>
    <mergeCell ref="J101:K101"/>
    <mergeCell ref="L101:M101"/>
    <mergeCell ref="V99:X99"/>
    <mergeCell ref="Y99:Z99"/>
    <mergeCell ref="AA99:AB99"/>
    <mergeCell ref="N101:O101"/>
    <mergeCell ref="P101:Q101"/>
    <mergeCell ref="R101:S101"/>
    <mergeCell ref="V101:X101"/>
    <mergeCell ref="Y101:Z101"/>
    <mergeCell ref="AB101:AC101"/>
    <mergeCell ref="L100:M100"/>
    <mergeCell ref="B99:C99"/>
    <mergeCell ref="D99:E99"/>
    <mergeCell ref="F99:G99"/>
    <mergeCell ref="H99:I99"/>
    <mergeCell ref="J99:K99"/>
    <mergeCell ref="L99:M99"/>
    <mergeCell ref="N99:O99"/>
    <mergeCell ref="P99:Q99"/>
    <mergeCell ref="R99:S99"/>
    <mergeCell ref="B96:C96"/>
    <mergeCell ref="D96:E96"/>
    <mergeCell ref="F96:G96"/>
    <mergeCell ref="H96:I96"/>
    <mergeCell ref="J96:K96"/>
    <mergeCell ref="AG96:AH96"/>
    <mergeCell ref="B97:C97"/>
    <mergeCell ref="D97:E97"/>
    <mergeCell ref="F97:G97"/>
    <mergeCell ref="H97:I97"/>
    <mergeCell ref="J97:K97"/>
    <mergeCell ref="L97:M97"/>
    <mergeCell ref="N97:O97"/>
    <mergeCell ref="P97:Q97"/>
    <mergeCell ref="R97:S97"/>
    <mergeCell ref="L96:M96"/>
    <mergeCell ref="N96:O96"/>
    <mergeCell ref="P96:Q96"/>
    <mergeCell ref="R96:S96"/>
    <mergeCell ref="AA96:AB96"/>
    <mergeCell ref="AC96:AD96"/>
    <mergeCell ref="AA97:AB97"/>
    <mergeCell ref="AC97:AD97"/>
    <mergeCell ref="B95:C95"/>
    <mergeCell ref="D95:E95"/>
    <mergeCell ref="F95:G95"/>
    <mergeCell ref="H95:I95"/>
    <mergeCell ref="J95:K95"/>
    <mergeCell ref="L95:M95"/>
    <mergeCell ref="N95:O95"/>
    <mergeCell ref="P95:Q95"/>
    <mergeCell ref="R95:S95"/>
    <mergeCell ref="B94:C94"/>
    <mergeCell ref="D94:E94"/>
    <mergeCell ref="F94:G94"/>
    <mergeCell ref="H94:I94"/>
    <mergeCell ref="J94:K94"/>
    <mergeCell ref="L94:M94"/>
    <mergeCell ref="N94:O94"/>
    <mergeCell ref="P94:Q94"/>
    <mergeCell ref="R94:S94"/>
    <mergeCell ref="H88:J88"/>
    <mergeCell ref="N88:P88"/>
    <mergeCell ref="H89:J89"/>
    <mergeCell ref="N89:P89"/>
    <mergeCell ref="B93:C93"/>
    <mergeCell ref="D93:E93"/>
    <mergeCell ref="F93:G93"/>
    <mergeCell ref="H93:I93"/>
    <mergeCell ref="J93:K93"/>
    <mergeCell ref="L93:M93"/>
    <mergeCell ref="N93:O93"/>
    <mergeCell ref="P93:Q93"/>
    <mergeCell ref="H86:J86"/>
    <mergeCell ref="N86:P86"/>
    <mergeCell ref="V86:Y86"/>
    <mergeCell ref="Z86:AA86"/>
    <mergeCell ref="H87:J87"/>
    <mergeCell ref="N87:P87"/>
    <mergeCell ref="V87:Y87"/>
    <mergeCell ref="Z87:AA87"/>
    <mergeCell ref="V84:Y84"/>
    <mergeCell ref="Z84:AA84"/>
    <mergeCell ref="H85:J85"/>
    <mergeCell ref="N85:P85"/>
    <mergeCell ref="V85:Y85"/>
    <mergeCell ref="Z85:AA85"/>
    <mergeCell ref="F82:G82"/>
    <mergeCell ref="I82:J82"/>
    <mergeCell ref="L82:M82"/>
    <mergeCell ref="O82:P82"/>
    <mergeCell ref="I83:J83"/>
    <mergeCell ref="O83:P83"/>
    <mergeCell ref="V77:Y77"/>
    <mergeCell ref="Z77:AA77"/>
    <mergeCell ref="V78:Y78"/>
    <mergeCell ref="Z78:AA78"/>
    <mergeCell ref="F80:G80"/>
    <mergeCell ref="I80:J80"/>
    <mergeCell ref="L80:M80"/>
    <mergeCell ref="O80:P80"/>
    <mergeCell ref="F76:G76"/>
    <mergeCell ref="I76:J76"/>
    <mergeCell ref="L76:M76"/>
    <mergeCell ref="O76:P76"/>
    <mergeCell ref="V76:Y76"/>
    <mergeCell ref="Z76:AA76"/>
    <mergeCell ref="F75:G75"/>
    <mergeCell ref="I75:J75"/>
    <mergeCell ref="L75:M75"/>
    <mergeCell ref="O75:P75"/>
    <mergeCell ref="V75:Y75"/>
    <mergeCell ref="Z75:AA75"/>
    <mergeCell ref="F71:G71"/>
    <mergeCell ref="I71:J71"/>
    <mergeCell ref="L71:M71"/>
    <mergeCell ref="O71:P71"/>
    <mergeCell ref="F74:G74"/>
    <mergeCell ref="I74:J74"/>
    <mergeCell ref="L74:M74"/>
    <mergeCell ref="O74:P74"/>
    <mergeCell ref="F69:G69"/>
    <mergeCell ref="I69:J69"/>
    <mergeCell ref="L69:M69"/>
    <mergeCell ref="O69:P69"/>
    <mergeCell ref="F70:G70"/>
    <mergeCell ref="I70:J70"/>
    <mergeCell ref="L70:M70"/>
    <mergeCell ref="O70:P70"/>
    <mergeCell ref="F66:G66"/>
    <mergeCell ref="H66:J66"/>
    <mergeCell ref="L66:M66"/>
    <mergeCell ref="N66:P66"/>
    <mergeCell ref="B60:H60"/>
    <mergeCell ref="I60:J60"/>
    <mergeCell ref="O60:P60"/>
    <mergeCell ref="K62:L62"/>
    <mergeCell ref="F64:G64"/>
    <mergeCell ref="H64:J64"/>
    <mergeCell ref="L64:M64"/>
    <mergeCell ref="N64:P64"/>
    <mergeCell ref="I56:J56"/>
    <mergeCell ref="O56:P56"/>
    <mergeCell ref="E58:H58"/>
    <mergeCell ref="I58:J58"/>
    <mergeCell ref="O58:P58"/>
    <mergeCell ref="E54:H54"/>
    <mergeCell ref="I54:J54"/>
    <mergeCell ref="O54:P54"/>
    <mergeCell ref="F65:G65"/>
    <mergeCell ref="H65:J65"/>
    <mergeCell ref="L65:M65"/>
    <mergeCell ref="N65:P65"/>
    <mergeCell ref="W2:X2"/>
    <mergeCell ref="F4:K4"/>
    <mergeCell ref="S4:U4"/>
    <mergeCell ref="W4:X4"/>
    <mergeCell ref="W14:X14"/>
    <mergeCell ref="F16:H16"/>
    <mergeCell ref="S16:U16"/>
    <mergeCell ref="W16:X16"/>
    <mergeCell ref="F10:K10"/>
    <mergeCell ref="S10:U10"/>
    <mergeCell ref="W10:X10"/>
    <mergeCell ref="F12:K12"/>
    <mergeCell ref="S12:U12"/>
    <mergeCell ref="W12:X12"/>
    <mergeCell ref="F14:K14"/>
    <mergeCell ref="S14:U14"/>
    <mergeCell ref="W6:X6"/>
    <mergeCell ref="W8:X8"/>
    <mergeCell ref="F2:K2"/>
    <mergeCell ref="S2:U2"/>
    <mergeCell ref="S6:U6"/>
    <mergeCell ref="S8:U8"/>
    <mergeCell ref="I40:J40"/>
    <mergeCell ref="O40:P40"/>
    <mergeCell ref="G26:I26"/>
    <mergeCell ref="G28:I28"/>
    <mergeCell ref="G30:I30"/>
    <mergeCell ref="G32:I32"/>
    <mergeCell ref="F35:K35"/>
    <mergeCell ref="L35:Q35"/>
    <mergeCell ref="F6:K6"/>
    <mergeCell ref="F8:K8"/>
    <mergeCell ref="F18:H18"/>
    <mergeCell ref="G20:I20"/>
    <mergeCell ref="AA98:AB98"/>
    <mergeCell ref="G22:I22"/>
    <mergeCell ref="S22:T22"/>
    <mergeCell ref="G24:I24"/>
    <mergeCell ref="S24:T24"/>
    <mergeCell ref="B38:H38"/>
    <mergeCell ref="I38:J38"/>
    <mergeCell ref="O38:P38"/>
    <mergeCell ref="B40:H40"/>
    <mergeCell ref="E50:H50"/>
    <mergeCell ref="I50:J50"/>
    <mergeCell ref="O50:P50"/>
    <mergeCell ref="E52:H52"/>
    <mergeCell ref="I52:J52"/>
    <mergeCell ref="O52:P52"/>
    <mergeCell ref="B42:H42"/>
    <mergeCell ref="I42:J42"/>
    <mergeCell ref="O42:P42"/>
    <mergeCell ref="B44:K45"/>
    <mergeCell ref="E48:H48"/>
    <mergeCell ref="I48:J48"/>
    <mergeCell ref="O48:P48"/>
    <mergeCell ref="L48:N48"/>
    <mergeCell ref="E56:H56"/>
    <mergeCell ref="AC98:AD98"/>
    <mergeCell ref="S20:T20"/>
    <mergeCell ref="AF106:AG106"/>
    <mergeCell ref="AG108:AH108"/>
    <mergeCell ref="AG107:AH107"/>
    <mergeCell ref="U53:X53"/>
    <mergeCell ref="L50:N50"/>
    <mergeCell ref="L52:N52"/>
    <mergeCell ref="L54:N54"/>
    <mergeCell ref="L56:N56"/>
    <mergeCell ref="L58:N58"/>
    <mergeCell ref="L60:N60"/>
    <mergeCell ref="R93:S93"/>
    <mergeCell ref="AG97:AH97"/>
    <mergeCell ref="V94:X94"/>
    <mergeCell ref="Y94:Z94"/>
    <mergeCell ref="AA94:AB94"/>
    <mergeCell ref="AA95:AD95"/>
    <mergeCell ref="AG99:AH99"/>
    <mergeCell ref="AG98:AH98"/>
    <mergeCell ref="P98:Q98"/>
    <mergeCell ref="R98:S98"/>
    <mergeCell ref="V98:X98"/>
    <mergeCell ref="Y98:Z98"/>
  </mergeCells>
  <dataValidations count="24">
    <dataValidation type="list" errorStyle="warning" showInputMessage="1" showErrorMessage="1" error="Inserer port" sqref="F10:K10" xr:uid="{E4A84990-0E9A-44E0-9A9E-455E081F2C0B}">
      <formula1>$AT$1:$AT$8</formula1>
    </dataValidation>
    <dataValidation type="list" errorStyle="warning" showInputMessage="1" showErrorMessage="1" error="Inserer port" sqref="F11:K11" xr:uid="{635BE0F1-48B7-4AC3-BB83-B23FD8F8F373}">
      <formula1>$AJ$6:$AJ$19</formula1>
    </dataValidation>
    <dataValidation allowBlank="1" showInputMessage="1" showErrorMessage="1" prompt="PORT, PAYS" sqref="F12:K12 F14:K14" xr:uid="{BF984D55-FF05-437B-B41E-E063368E666E}"/>
    <dataValidation errorStyle="information" allowBlank="1" prompt="##:##" sqref="W3 W18 W11 W5" xr:uid="{E99A09CE-4B43-473F-8D82-88F6FF933787}"/>
    <dataValidation allowBlank="1" showInputMessage="1" showErrorMessage="1" prompt="Dist Mid en cm !!!" sqref="I42:J43 O42:P43" xr:uid="{22CCD6D4-B67B-4131-B12F-3E11F84C77A5}"/>
    <dataValidation allowBlank="1" showInputMessage="1" showErrorMessage="1" prompt="Dist Aft en cm !!!" sqref="I40:J41 O40:P41" xr:uid="{DB12B0A9-CE60-4DFF-81C9-9C445B27F762}"/>
    <dataValidation allowBlank="1" showInputMessage="1" showErrorMessage="1" prompt="Dist Fore en cm !!!" sqref="I38:J39 O38:P39" xr:uid="{2FC1C081-7184-456B-8B78-5D2706C0E1D9}"/>
    <dataValidation allowBlank="1" showInputMessage="1" prompt="!! (en mètres)" sqref="G25" xr:uid="{31503EA2-4EEE-457B-B521-48AFBFE532F3}"/>
    <dataValidation allowBlank="1" showInputMessage="1" showErrorMessage="1" prompt="!! (en mètres)" sqref="G27" xr:uid="{50D83EFA-0674-4F2F-BAA2-7A724D482D24}"/>
    <dataValidation errorStyle="information" allowBlank="1" showInputMessage="1" showErrorMessage="1" error="en mètres" prompt="!!! LOA en mètres" sqref="S23" xr:uid="{F7DAC732-76E8-4E88-BA0C-0782088C7B3F}"/>
    <dataValidation errorStyle="information" allowBlank="1" showInputMessage="1" prompt="!!! LBP en mètres" sqref="S21" xr:uid="{4BF14E48-3B86-4366-A038-5DE60C735052}"/>
    <dataValidation allowBlank="1" showInputMessage="1" showErrorMessage="1" prompt="!!! en mètres" sqref="S25" xr:uid="{58621599-C29F-4FF5-BB03-822BEA1D355A}"/>
    <dataValidation allowBlank="1" showInputMessage="1" showErrorMessage="1" prompt="Draft MS en cm !!!" sqref="I58:J58 O58:P58" xr:uid="{2376E35C-DAF4-42EB-804D-237F215D8BB3}"/>
    <dataValidation allowBlank="1" showInputMessage="1" showErrorMessage="1" prompt="Draft MP en cm !!!" sqref="I56:J57 O56:P57" xr:uid="{C9472D5E-0860-4061-9CCD-2CA2D9438FE4}"/>
    <dataValidation allowBlank="1" showInputMessage="1" showErrorMessage="1" prompt="Draft AS en cm !!!" sqref="I54:J54 O54:P54" xr:uid="{B02DFFDF-51BA-441B-AF82-900FE3F422B7}"/>
    <dataValidation allowBlank="1" showInputMessage="1" showErrorMessage="1" prompt="Draft AP en cm !!!" sqref="I52:J53 O52:P53" xr:uid="{B94E4240-C1AC-4925-9CC5-BF744B75E6EE}"/>
    <dataValidation allowBlank="1" showInputMessage="1" showErrorMessage="1" prompt="Draft FS en cm !!!" sqref="I50:J50 O50:P50" xr:uid="{AC74B721-A421-4558-A6A9-3ABA4DDF066D}"/>
    <dataValidation allowBlank="1" showInputMessage="1" showErrorMessage="1" prompt="Draft FP en cm !!!" sqref="I48:J49 O48:P49" xr:uid="{330A49E7-CAD4-46C2-A8AC-A0A15230A54B}"/>
    <dataValidation showInputMessage="1" showErrorMessage="1" errorTitle="A ou F ou 0" error="A (AFT) / F (FORE) / (0) NUL " promptTitle="AFT (A) ou FORE (F) ou NUL (0)" sqref="Q75 K75" xr:uid="{F786E715-0277-4BF6-82AC-B6E3AFF3A2BF}"/>
    <dataValidation type="decimal" operator="notEqual" allowBlank="1" showInputMessage="1" showErrorMessage="1" errorTitle="Attention" error="Veuillez inserer un chiffre valide !_x000a_est ce que tu as pris ton Petit-dejeunet??_x000a_" sqref="G20:I20 G22:I22 G24:I24 G26:I26 G28:I28 G30:I30 G32:I32 S20:T20 S22:T22 S24:T24 T26 T30 T28" xr:uid="{FE168F38-808D-4577-B512-3967BDD4225F}">
      <formula1>0</formula1>
    </dataValidation>
    <dataValidation type="date" operator="notEqual" allowBlank="1" showInputMessage="1" showErrorMessage="1" errorTitle="Attention" error="Merci de couriger votre frappe, ici on insere les dates, ;)" sqref="S2:U2 S4:U4 S6:U6 S8:U8 S10:U10 S12:U12 S14:U14 S16:U16 F18:H18" xr:uid="{621EDE82-05F3-45FB-BA86-A6FDEC2E9AAD}">
      <formula1>32142</formula1>
    </dataValidation>
    <dataValidation type="time" errorStyle="information" operator="notEqual" allowBlank="1" showErrorMessage="1" errorTitle="Attention" error="Veuillez ecrire les heures comme il le faut!!!! tu as Soif??_x000a_" prompt="##:##" sqref="W7:X7" xr:uid="{787F46A4-768F-4A1C-AF2A-678A7E4560B2}">
      <formula1>0.00138888888888889</formula1>
    </dataValidation>
    <dataValidation type="custom" showInputMessage="1" showErrorMessage="1" errorTitle="Attention" error="Veuillez inserer une heure Valide" sqref="W2:X2 W4:X4 W6:X6 W8:X8 W10:X10 W12:X12 W14:X14 W16:X16" xr:uid="{018C743C-85F4-4464-9DC5-A6FEBD39A0FF}">
      <formula1>0.00486111111111111</formula1>
    </dataValidation>
    <dataValidation type="whole" operator="notEqual" allowBlank="1" showInputMessage="1" showErrorMessage="1" errorTitle="Attention" error="Veuillez inserer un chiffre valide !_x000a_est ce que tu as pris ton Petit-dejeunet??_x000a_" sqref="T32" xr:uid="{051265DD-4F1B-4121-AD73-6BA4BE0A0C6F}">
      <formula1>100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C9F88-17C9-48C9-AF3E-984913FEBCCF}">
          <x14:formula1>
            <xm:f>OFFSET(DDB!$B$2,1,,COUNTA(DDB!$B$2:$B$1080)-1,1)</xm:f>
          </x14:formula1>
          <xm:sqref>F6:K6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9DE7B-86F8-4F1D-84BD-441BFBE663EF}">
  <sheetPr codeName="Feuil1"/>
  <dimension ref="A1:CL1000"/>
  <sheetViews>
    <sheetView showRowColHeaders="0" topLeftCell="X3" workbookViewId="0">
      <selection activeCell="AS3" sqref="AS3"/>
    </sheetView>
  </sheetViews>
  <sheetFormatPr baseColWidth="10" defaultRowHeight="14.5"/>
  <cols>
    <col min="1" max="1" width="7.1796875" style="180" customWidth="1"/>
    <col min="2" max="2" width="15.7265625" style="180" customWidth="1"/>
    <col min="3" max="3" width="21.6328125" customWidth="1"/>
    <col min="4" max="4" width="16.453125" customWidth="1"/>
    <col min="5" max="5" width="9.26953125" style="175" bestFit="1" customWidth="1"/>
    <col min="6" max="6" width="6.90625" style="175" customWidth="1"/>
    <col min="7" max="7" width="8.81640625" style="175" customWidth="1"/>
    <col min="8" max="8" width="8" style="175" customWidth="1"/>
    <col min="9" max="9" width="9.1796875" style="175" customWidth="1"/>
    <col min="10" max="10" width="7" style="175" customWidth="1"/>
    <col min="11" max="11" width="9.36328125" style="175" customWidth="1"/>
    <col min="12" max="12" width="3.6328125" style="176" customWidth="1"/>
    <col min="13" max="13" width="5.54296875" style="175" customWidth="1"/>
    <col min="14" max="14" width="13.36328125" customWidth="1"/>
    <col min="15" max="15" width="12.90625" customWidth="1"/>
    <col min="16" max="16" width="6.1796875" customWidth="1"/>
    <col min="17" max="17" width="9.1796875" style="177" customWidth="1"/>
    <col min="18" max="18" width="6.1796875" style="177" customWidth="1"/>
    <col min="19" max="19" width="11.453125" style="178" customWidth="1"/>
    <col min="20" max="20" width="12.36328125" style="178" customWidth="1"/>
    <col min="21" max="21" width="6.08984375" style="179" customWidth="1"/>
    <col min="22" max="22" width="3.1796875" customWidth="1"/>
    <col min="23" max="23" width="5.81640625" style="179" customWidth="1"/>
    <col min="24" max="24" width="2.90625" customWidth="1"/>
    <col min="25" max="25" width="5.7265625" customWidth="1"/>
    <col min="26" max="26" width="4.1796875" customWidth="1"/>
    <col min="27" max="27" width="6.7265625" style="179" customWidth="1"/>
    <col min="28" max="29" width="6.26953125" style="179" customWidth="1"/>
    <col min="30" max="31" width="6.81640625" style="179" customWidth="1"/>
    <col min="32" max="32" width="7.6328125" style="179" customWidth="1"/>
    <col min="33" max="33" width="6.453125" style="179" customWidth="1"/>
    <col min="34" max="34" width="7.26953125" style="179" customWidth="1"/>
    <col min="35" max="35" width="6.26953125" style="179" customWidth="1"/>
    <col min="36" max="36" width="7.26953125" style="179" customWidth="1"/>
    <col min="37" max="37" width="7.7265625" style="179" customWidth="1"/>
    <col min="38" max="38" width="7" style="179" customWidth="1"/>
  </cols>
  <sheetData>
    <row r="1" spans="1:90">
      <c r="A1" s="1259" t="s">
        <v>263</v>
      </c>
      <c r="B1" s="1259" t="s">
        <v>264</v>
      </c>
      <c r="C1" s="1260" t="s">
        <v>213</v>
      </c>
      <c r="D1" s="1260" t="s">
        <v>265</v>
      </c>
      <c r="E1" s="1260" t="s">
        <v>266</v>
      </c>
      <c r="F1" s="1260" t="s">
        <v>267</v>
      </c>
      <c r="G1" s="1260" t="s">
        <v>268</v>
      </c>
      <c r="H1" s="1260" t="s">
        <v>269</v>
      </c>
      <c r="I1" s="1260" t="s">
        <v>270</v>
      </c>
      <c r="J1" s="1260" t="s">
        <v>271</v>
      </c>
      <c r="K1" s="1260" t="s">
        <v>26</v>
      </c>
      <c r="L1" s="1260" t="s">
        <v>272</v>
      </c>
      <c r="M1" s="1260" t="s">
        <v>273</v>
      </c>
      <c r="N1" s="1260" t="s">
        <v>274</v>
      </c>
      <c r="O1" s="1260" t="s">
        <v>275</v>
      </c>
      <c r="P1" s="1260" t="s">
        <v>276</v>
      </c>
      <c r="Q1" s="1260" t="s">
        <v>277</v>
      </c>
      <c r="R1" s="1260" t="s">
        <v>278</v>
      </c>
      <c r="S1" s="1261" t="s">
        <v>279</v>
      </c>
      <c r="T1" s="1261" t="s">
        <v>280</v>
      </c>
      <c r="U1" s="1262" t="s">
        <v>281</v>
      </c>
      <c r="V1" s="1260" t="s">
        <v>282</v>
      </c>
      <c r="W1" s="1260" t="s">
        <v>283</v>
      </c>
      <c r="X1" s="1260" t="s">
        <v>284</v>
      </c>
      <c r="Y1" s="1260" t="s">
        <v>285</v>
      </c>
      <c r="Z1" s="1260" t="s">
        <v>286</v>
      </c>
      <c r="AA1" s="1260" t="s">
        <v>287</v>
      </c>
      <c r="AB1" s="1260" t="s">
        <v>288</v>
      </c>
      <c r="AC1" s="1260" t="s">
        <v>289</v>
      </c>
      <c r="AD1" s="1260" t="s">
        <v>290</v>
      </c>
      <c r="AE1" s="1260" t="s">
        <v>291</v>
      </c>
      <c r="AF1" s="1260" t="s">
        <v>292</v>
      </c>
      <c r="AG1" s="1260" t="s">
        <v>293</v>
      </c>
      <c r="AH1" s="1262" t="s">
        <v>294</v>
      </c>
      <c r="AI1" s="1260" t="s">
        <v>295</v>
      </c>
      <c r="AJ1" s="1260" t="s">
        <v>296</v>
      </c>
      <c r="AK1" s="1260" t="s">
        <v>297</v>
      </c>
      <c r="AL1" s="1260" t="s">
        <v>298</v>
      </c>
      <c r="AM1" s="1260" t="s">
        <v>523</v>
      </c>
      <c r="AN1" s="1263"/>
      <c r="AO1" s="1263"/>
      <c r="AP1" s="1263"/>
      <c r="AQ1" s="1263"/>
      <c r="AR1" s="1263"/>
      <c r="AS1" s="1263"/>
      <c r="AT1" s="1263"/>
      <c r="AU1" s="1263"/>
      <c r="AV1" s="1263"/>
      <c r="AW1" s="1263"/>
      <c r="AX1" s="1263"/>
      <c r="AY1" s="1263"/>
      <c r="AZ1" s="1263"/>
      <c r="BA1" s="1263"/>
      <c r="BB1" s="1263"/>
      <c r="BC1" s="1263"/>
      <c r="BD1" s="1263"/>
      <c r="BE1" s="1263"/>
      <c r="BF1" s="1263"/>
      <c r="BG1" s="1263"/>
      <c r="BH1" s="1263"/>
      <c r="BI1" s="1263"/>
      <c r="BJ1" s="1263"/>
      <c r="BK1" s="1263"/>
      <c r="BL1" s="1263"/>
      <c r="BM1" s="1263"/>
      <c r="BN1" s="1263"/>
      <c r="BO1" s="1263"/>
      <c r="BP1" s="1263"/>
      <c r="BQ1" s="1263"/>
      <c r="BR1" s="1263"/>
      <c r="BS1" s="1263"/>
      <c r="BT1" s="1263"/>
      <c r="BU1" s="1263"/>
      <c r="BV1" s="1263"/>
      <c r="BW1" s="1263"/>
      <c r="BX1" s="1263"/>
      <c r="BY1" s="1263"/>
      <c r="BZ1" s="1263"/>
      <c r="CA1" s="1263"/>
      <c r="CB1" s="1263"/>
      <c r="CC1" s="1263"/>
      <c r="CD1" s="1263"/>
      <c r="CE1" s="1263"/>
      <c r="CF1" s="1263"/>
      <c r="CG1" s="1263"/>
      <c r="CH1" s="1263"/>
      <c r="CI1" s="1263"/>
      <c r="CJ1" s="1263"/>
      <c r="CK1" s="1263"/>
      <c r="CL1" s="1263"/>
    </row>
    <row r="2" spans="1:90">
      <c r="A2" s="1264">
        <f>IF(B2="","",ROW(A1))</f>
        <v>1</v>
      </c>
      <c r="B2" s="1265" t="s">
        <v>299</v>
      </c>
      <c r="C2" s="1263" t="s">
        <v>300</v>
      </c>
      <c r="D2" s="1263" t="s">
        <v>301</v>
      </c>
      <c r="E2" s="1266">
        <v>84.98</v>
      </c>
      <c r="F2" s="1263">
        <v>86.93</v>
      </c>
      <c r="G2" s="1266">
        <v>2999</v>
      </c>
      <c r="H2" s="1266">
        <v>1731</v>
      </c>
      <c r="I2" s="1266">
        <v>5170.28</v>
      </c>
      <c r="J2" s="1266">
        <v>6.3630000000000004</v>
      </c>
      <c r="K2" s="1266">
        <v>1371.4559999999999</v>
      </c>
      <c r="L2" s="1267">
        <v>40</v>
      </c>
      <c r="M2" s="1266">
        <v>15</v>
      </c>
      <c r="N2" s="1263" t="s">
        <v>225</v>
      </c>
      <c r="O2" s="1263" t="s">
        <v>302</v>
      </c>
      <c r="P2" s="1263" t="s">
        <v>303</v>
      </c>
      <c r="Q2" s="1268" t="s">
        <v>304</v>
      </c>
      <c r="R2" s="1268" t="s">
        <v>305</v>
      </c>
      <c r="S2" s="1269">
        <v>44645</v>
      </c>
      <c r="T2" s="1269">
        <v>44648</v>
      </c>
      <c r="U2" s="1270">
        <v>203</v>
      </c>
      <c r="V2" s="1263" t="s">
        <v>5</v>
      </c>
      <c r="W2" s="1270">
        <v>195</v>
      </c>
      <c r="X2" s="1263" t="s">
        <v>226</v>
      </c>
      <c r="Y2" s="1270">
        <v>0</v>
      </c>
      <c r="Z2" s="1263" t="s">
        <v>306</v>
      </c>
      <c r="AA2" s="1270">
        <v>489</v>
      </c>
      <c r="AB2" s="1270">
        <v>489</v>
      </c>
      <c r="AC2" s="1270">
        <v>562</v>
      </c>
      <c r="AD2" s="1270">
        <v>562</v>
      </c>
      <c r="AE2" s="1270" t="s">
        <v>307</v>
      </c>
      <c r="AF2" s="1270" t="s">
        <v>308</v>
      </c>
      <c r="AG2" s="1270">
        <v>260</v>
      </c>
      <c r="AH2" s="1270">
        <v>260</v>
      </c>
      <c r="AI2" s="1270">
        <v>351</v>
      </c>
      <c r="AJ2" s="1270">
        <v>351</v>
      </c>
      <c r="AK2" s="1270">
        <v>295</v>
      </c>
      <c r="AL2" s="1270" t="s">
        <v>309</v>
      </c>
      <c r="AM2" s="1270"/>
      <c r="AN2" s="1263"/>
      <c r="AO2" s="1263"/>
      <c r="AP2" s="1263"/>
      <c r="AQ2" s="1263"/>
      <c r="AR2" s="1263"/>
      <c r="AS2" s="1263"/>
      <c r="AT2" s="1263"/>
      <c r="AU2" s="1263"/>
      <c r="AV2" s="1263"/>
      <c r="AW2" s="1263"/>
      <c r="AX2" s="1263"/>
      <c r="AY2" s="1263"/>
      <c r="AZ2" s="1263"/>
      <c r="BA2" s="1263"/>
      <c r="BB2" s="1263"/>
      <c r="BC2" s="1263"/>
      <c r="BD2" s="1263"/>
      <c r="BE2" s="1263"/>
      <c r="BF2" s="1263"/>
      <c r="BG2" s="1263"/>
      <c r="BH2" s="1263"/>
      <c r="BI2" s="1263"/>
      <c r="BJ2" s="1263"/>
      <c r="BK2" s="1263"/>
      <c r="BL2" s="1263"/>
      <c r="BM2" s="1263"/>
      <c r="BN2" s="1263"/>
      <c r="BO2" s="1263"/>
      <c r="BP2" s="1263"/>
      <c r="BQ2" s="1263"/>
      <c r="BR2" s="1263"/>
      <c r="BS2" s="1263"/>
      <c r="BT2" s="1263"/>
      <c r="BU2" s="1263"/>
      <c r="BV2" s="1263"/>
      <c r="BW2" s="1263"/>
      <c r="BX2" s="1263"/>
      <c r="BY2" s="1263"/>
      <c r="BZ2" s="1263"/>
      <c r="CA2" s="1263"/>
      <c r="CB2" s="1263"/>
      <c r="CC2" s="1263"/>
      <c r="CD2" s="1263"/>
      <c r="CE2" s="1263"/>
      <c r="CF2" s="1263"/>
      <c r="CG2" s="1263"/>
      <c r="CH2" s="1263"/>
      <c r="CI2" s="1263"/>
      <c r="CJ2" s="1263"/>
      <c r="CK2" s="1263"/>
      <c r="CL2" s="1263"/>
    </row>
    <row r="3" spans="1:90">
      <c r="A3" s="1264">
        <f t="shared" ref="A3:A66" si="0">IF(B3="","",ROW(A2))</f>
        <v>2</v>
      </c>
      <c r="B3" s="1271" t="s">
        <v>310</v>
      </c>
      <c r="C3" s="1263" t="s">
        <v>300</v>
      </c>
      <c r="D3" s="1263" t="s">
        <v>301</v>
      </c>
      <c r="E3" s="1266">
        <v>84.98</v>
      </c>
      <c r="F3" s="1266">
        <v>86.93</v>
      </c>
      <c r="G3" s="1266">
        <v>2999</v>
      </c>
      <c r="H3" s="1266">
        <v>1731</v>
      </c>
      <c r="I3" s="1266">
        <v>5170.99</v>
      </c>
      <c r="J3" s="1266">
        <v>6.35</v>
      </c>
      <c r="K3" s="1266">
        <v>1370.75</v>
      </c>
      <c r="L3" s="1267">
        <v>25</v>
      </c>
      <c r="M3" s="1266">
        <v>15</v>
      </c>
      <c r="N3" s="1263" t="s">
        <v>225</v>
      </c>
      <c r="O3" s="1263" t="s">
        <v>302</v>
      </c>
      <c r="P3" s="1263" t="s">
        <v>303</v>
      </c>
      <c r="Q3" s="1268">
        <v>4823</v>
      </c>
      <c r="R3" s="1268">
        <v>1.0880000000000001</v>
      </c>
      <c r="S3" s="1269">
        <v>43796</v>
      </c>
      <c r="T3" s="1269">
        <v>43797</v>
      </c>
      <c r="U3" s="1270">
        <v>203</v>
      </c>
      <c r="V3" s="1263" t="s">
        <v>5</v>
      </c>
      <c r="W3" s="1270">
        <v>195</v>
      </c>
      <c r="X3" s="1263" t="s">
        <v>5</v>
      </c>
      <c r="Y3" s="1270">
        <v>0</v>
      </c>
      <c r="Z3" s="1263" t="s">
        <v>306</v>
      </c>
      <c r="AA3" s="1270">
        <v>319</v>
      </c>
      <c r="AB3" s="1270">
        <v>319</v>
      </c>
      <c r="AC3" s="1270">
        <v>403</v>
      </c>
      <c r="AD3" s="1270">
        <v>403</v>
      </c>
      <c r="AE3" s="1270">
        <v>363</v>
      </c>
      <c r="AF3" s="1270">
        <v>351</v>
      </c>
      <c r="AG3" s="1270">
        <v>609</v>
      </c>
      <c r="AH3" s="1270">
        <v>609</v>
      </c>
      <c r="AI3" s="1270">
        <v>642</v>
      </c>
      <c r="AJ3" s="1270">
        <v>642</v>
      </c>
      <c r="AK3" s="1270">
        <v>622</v>
      </c>
      <c r="AL3" s="1270">
        <v>623</v>
      </c>
      <c r="AM3" s="1270"/>
      <c r="AN3" s="1263"/>
      <c r="AO3" s="1263"/>
      <c r="AP3" s="1263" t="str" cm="1">
        <f t="array" aca="1" ref="AP3:AP1000" ca="1">OFFSET(_TblNavires[[#Headers],[Vessels]],1,,COUNTA([1]BDD!B1:B999)-1,1)</f>
        <v>ARKLOW VIEW</v>
      </c>
      <c r="AQ3" s="1263"/>
      <c r="AR3" s="1263"/>
      <c r="AS3" s="1263"/>
      <c r="AT3" s="1263"/>
      <c r="AU3" s="1263"/>
      <c r="AV3" s="1263"/>
      <c r="AW3" s="1263"/>
      <c r="AX3" s="1263"/>
      <c r="AY3" s="1263"/>
      <c r="AZ3" s="1263"/>
      <c r="BA3" s="1263"/>
      <c r="BB3" s="1263"/>
      <c r="BC3" s="1263"/>
      <c r="BD3" s="1263"/>
      <c r="BE3" s="1263"/>
      <c r="BF3" s="1263"/>
      <c r="BG3" s="1263"/>
      <c r="BH3" s="1263"/>
      <c r="BI3" s="1263"/>
      <c r="BJ3" s="1263"/>
      <c r="BK3" s="1263"/>
      <c r="BL3" s="1263"/>
      <c r="BM3" s="1263"/>
      <c r="BN3" s="1263"/>
      <c r="BO3" s="1263"/>
      <c r="BP3" s="1263"/>
      <c r="BQ3" s="1263"/>
      <c r="BR3" s="1263"/>
      <c r="BS3" s="1263"/>
      <c r="BT3" s="1263"/>
      <c r="BU3" s="1263"/>
      <c r="BV3" s="1263"/>
      <c r="BW3" s="1263"/>
      <c r="BX3" s="1263"/>
      <c r="BY3" s="1263"/>
      <c r="BZ3" s="1263"/>
      <c r="CA3" s="1263"/>
      <c r="CB3" s="1263"/>
      <c r="CC3" s="1263"/>
      <c r="CD3" s="1263"/>
      <c r="CE3" s="1263"/>
      <c r="CF3" s="1263"/>
      <c r="CG3" s="1263"/>
      <c r="CH3" s="1263"/>
      <c r="CI3" s="1263"/>
      <c r="CJ3" s="1263"/>
      <c r="CK3" s="1263"/>
      <c r="CL3" s="1263"/>
    </row>
    <row r="4" spans="1:90">
      <c r="A4" s="1264">
        <f t="shared" si="0"/>
        <v>3</v>
      </c>
      <c r="B4" s="1271" t="s">
        <v>311</v>
      </c>
      <c r="C4" s="1263" t="s">
        <v>312</v>
      </c>
      <c r="D4" s="1263" t="s">
        <v>313</v>
      </c>
      <c r="E4" s="1266">
        <v>116.895</v>
      </c>
      <c r="F4" s="1263">
        <v>120.45</v>
      </c>
      <c r="G4" s="1266">
        <v>5078</v>
      </c>
      <c r="H4" s="1266">
        <v>2704</v>
      </c>
      <c r="I4" s="1266">
        <v>8543</v>
      </c>
      <c r="J4" s="1266">
        <v>7.2009999999999996</v>
      </c>
      <c r="K4" s="1266">
        <v>2292.6999999999998</v>
      </c>
      <c r="L4" s="1267">
        <v>95</v>
      </c>
      <c r="M4" s="1263">
        <v>14.99</v>
      </c>
      <c r="N4" s="1263" t="s">
        <v>225</v>
      </c>
      <c r="O4" s="1263" t="s">
        <v>302</v>
      </c>
      <c r="P4" s="1263" t="s">
        <v>303</v>
      </c>
      <c r="Q4" s="1268">
        <v>7500</v>
      </c>
      <c r="R4" s="1268" t="s">
        <v>305</v>
      </c>
      <c r="S4" s="1269">
        <v>44655</v>
      </c>
      <c r="T4" s="1269">
        <v>44657</v>
      </c>
      <c r="U4" s="1270" t="s">
        <v>314</v>
      </c>
      <c r="V4" s="1263" t="s">
        <v>5</v>
      </c>
      <c r="W4" s="1270">
        <v>260</v>
      </c>
      <c r="X4" s="1263" t="s">
        <v>5</v>
      </c>
      <c r="Y4" s="1270">
        <v>0</v>
      </c>
      <c r="Z4" s="1263" t="s">
        <v>306</v>
      </c>
      <c r="AA4" s="1270">
        <v>288</v>
      </c>
      <c r="AB4" s="1270">
        <v>288</v>
      </c>
      <c r="AC4" s="1270">
        <v>443</v>
      </c>
      <c r="AD4" s="1270">
        <v>443</v>
      </c>
      <c r="AE4" s="1270">
        <v>360</v>
      </c>
      <c r="AF4" s="1270" t="s">
        <v>315</v>
      </c>
      <c r="AG4" s="1270">
        <v>645</v>
      </c>
      <c r="AH4" s="1270">
        <v>645</v>
      </c>
      <c r="AI4" s="1270">
        <v>700</v>
      </c>
      <c r="AJ4" s="1270">
        <v>700</v>
      </c>
      <c r="AK4" s="1270">
        <v>674</v>
      </c>
      <c r="AL4" s="1270">
        <v>674</v>
      </c>
      <c r="AM4" s="1270"/>
      <c r="AN4" s="1263"/>
      <c r="AO4" s="1263"/>
      <c r="AP4" s="1263" t="str">
        <f ca="1"/>
        <v>ARKLOW VENUS</v>
      </c>
      <c r="AQ4" s="1263"/>
      <c r="AR4" s="1263"/>
      <c r="AS4" s="1263"/>
      <c r="AT4" s="1263"/>
      <c r="AU4" s="1263"/>
      <c r="AV4" s="1263"/>
      <c r="AW4" s="1263"/>
      <c r="AX4" s="1263"/>
      <c r="AY4" s="1263"/>
      <c r="AZ4" s="1263"/>
      <c r="BA4" s="1263"/>
      <c r="BB4" s="1263"/>
      <c r="BC4" s="1263"/>
      <c r="BD4" s="1263"/>
      <c r="BE4" s="1263"/>
      <c r="BF4" s="1263"/>
      <c r="BG4" s="1263"/>
      <c r="BH4" s="1263"/>
      <c r="BI4" s="1263"/>
      <c r="BJ4" s="1263"/>
      <c r="BK4" s="1263"/>
      <c r="BL4" s="1263"/>
      <c r="BM4" s="1263"/>
      <c r="BN4" s="1263"/>
      <c r="BO4" s="1263"/>
      <c r="BP4" s="1263"/>
      <c r="BQ4" s="1263"/>
      <c r="BR4" s="1263"/>
      <c r="BS4" s="1263"/>
      <c r="BT4" s="1263"/>
      <c r="BU4" s="1263"/>
      <c r="BV4" s="1263"/>
      <c r="BW4" s="1263"/>
      <c r="BX4" s="1263"/>
      <c r="BY4" s="1263"/>
      <c r="BZ4" s="1263"/>
      <c r="CA4" s="1263"/>
      <c r="CB4" s="1263"/>
      <c r="CC4" s="1263"/>
      <c r="CD4" s="1263"/>
      <c r="CE4" s="1263"/>
      <c r="CF4" s="1263"/>
      <c r="CG4" s="1263"/>
      <c r="CH4" s="1263"/>
      <c r="CI4" s="1263"/>
      <c r="CJ4" s="1263"/>
      <c r="CK4" s="1263"/>
      <c r="CL4" s="1263"/>
    </row>
    <row r="5" spans="1:90">
      <c r="A5" s="1264">
        <f t="shared" si="0"/>
        <v>4</v>
      </c>
      <c r="B5" s="1271" t="s">
        <v>316</v>
      </c>
      <c r="C5" s="1263" t="s">
        <v>312</v>
      </c>
      <c r="D5" s="1263" t="s">
        <v>313</v>
      </c>
      <c r="E5" s="1266">
        <v>84.98</v>
      </c>
      <c r="F5" s="1266">
        <v>89.99</v>
      </c>
      <c r="G5" s="1266">
        <v>2999</v>
      </c>
      <c r="H5" s="1266">
        <v>1692</v>
      </c>
      <c r="I5" s="1266">
        <v>5058</v>
      </c>
      <c r="J5" s="1266">
        <v>6.13</v>
      </c>
      <c r="K5" s="1266">
        <v>1515.3</v>
      </c>
      <c r="L5" s="1267">
        <v>65</v>
      </c>
      <c r="M5" s="1266">
        <v>14</v>
      </c>
      <c r="N5" s="1263" t="s">
        <v>225</v>
      </c>
      <c r="O5" s="1263" t="s">
        <v>302</v>
      </c>
      <c r="P5" s="1263" t="s">
        <v>303</v>
      </c>
      <c r="Q5" s="1268">
        <v>4701</v>
      </c>
      <c r="R5" s="1268">
        <v>0.86</v>
      </c>
      <c r="S5" s="1269">
        <v>44547</v>
      </c>
      <c r="T5" s="1269">
        <v>44548</v>
      </c>
      <c r="U5" s="1270">
        <v>99</v>
      </c>
      <c r="V5" s="1263" t="s">
        <v>5</v>
      </c>
      <c r="W5" s="1270">
        <v>180</v>
      </c>
      <c r="X5" s="1263" t="s">
        <v>5</v>
      </c>
      <c r="Y5" s="1270">
        <v>107</v>
      </c>
      <c r="Z5" s="1263" t="s">
        <v>226</v>
      </c>
      <c r="AA5" s="1270">
        <v>302</v>
      </c>
      <c r="AB5" s="1270">
        <v>302</v>
      </c>
      <c r="AC5" s="1270">
        <v>381</v>
      </c>
      <c r="AD5" s="1270">
        <v>381</v>
      </c>
      <c r="AE5" s="1270">
        <v>339</v>
      </c>
      <c r="AF5" s="1270">
        <v>340</v>
      </c>
      <c r="AG5" s="1270">
        <v>597</v>
      </c>
      <c r="AH5" s="1270">
        <v>597</v>
      </c>
      <c r="AI5" s="1270">
        <v>620</v>
      </c>
      <c r="AJ5" s="1270">
        <v>620</v>
      </c>
      <c r="AK5" s="1270">
        <v>615</v>
      </c>
      <c r="AL5" s="1270">
        <v>606</v>
      </c>
      <c r="AM5" s="1270"/>
      <c r="AN5" s="1263"/>
      <c r="AO5" s="1263"/>
      <c r="AP5" s="1263" t="str">
        <f ca="1"/>
        <v>ARKLOW ACE</v>
      </c>
      <c r="AQ5" s="1263"/>
      <c r="AR5" s="1263"/>
      <c r="AS5" s="1263"/>
      <c r="AT5" s="1263"/>
      <c r="AU5" s="1263"/>
      <c r="AV5" s="1263"/>
      <c r="AW5" s="1263"/>
      <c r="AX5" s="1263"/>
      <c r="AY5" s="1263"/>
      <c r="AZ5" s="1263"/>
      <c r="BA5" s="1263"/>
      <c r="BB5" s="1263"/>
      <c r="BC5" s="1263"/>
      <c r="BD5" s="1263"/>
      <c r="BE5" s="1263"/>
      <c r="BF5" s="1263"/>
      <c r="BG5" s="1263"/>
      <c r="BH5" s="1263"/>
      <c r="BI5" s="1263"/>
      <c r="BJ5" s="1263"/>
      <c r="BK5" s="1263"/>
      <c r="BL5" s="1263"/>
      <c r="BM5" s="1263"/>
      <c r="BN5" s="1263"/>
      <c r="BO5" s="1263"/>
      <c r="BP5" s="1263"/>
      <c r="BQ5" s="1263"/>
      <c r="BR5" s="1263"/>
      <c r="BS5" s="1263"/>
      <c r="BT5" s="1263"/>
      <c r="BU5" s="1263"/>
      <c r="BV5" s="1263"/>
      <c r="BW5" s="1263"/>
      <c r="BX5" s="1263"/>
      <c r="BY5" s="1263"/>
      <c r="BZ5" s="1263"/>
      <c r="CA5" s="1263"/>
      <c r="CB5" s="1263"/>
      <c r="CC5" s="1263"/>
      <c r="CD5" s="1263"/>
      <c r="CE5" s="1263"/>
      <c r="CF5" s="1263"/>
      <c r="CG5" s="1263"/>
      <c r="CH5" s="1263"/>
      <c r="CI5" s="1263"/>
      <c r="CJ5" s="1263"/>
      <c r="CK5" s="1263"/>
      <c r="CL5" s="1263"/>
    </row>
    <row r="6" spans="1:90">
      <c r="A6" s="1264">
        <f t="shared" si="0"/>
        <v>5</v>
      </c>
      <c r="B6" s="1271" t="s">
        <v>317</v>
      </c>
      <c r="C6" s="1263" t="s">
        <v>312</v>
      </c>
      <c r="D6" s="1263" t="s">
        <v>313</v>
      </c>
      <c r="E6" s="1266">
        <v>84.99</v>
      </c>
      <c r="F6" s="1266">
        <v>87.4</v>
      </c>
      <c r="G6" s="1266">
        <v>2999</v>
      </c>
      <c r="H6" s="1266">
        <v>1692</v>
      </c>
      <c r="I6" s="1266">
        <v>5051</v>
      </c>
      <c r="J6" s="1266">
        <v>6.2729999999999997</v>
      </c>
      <c r="K6" s="1266">
        <v>1524.8</v>
      </c>
      <c r="L6" s="1267">
        <v>50</v>
      </c>
      <c r="M6" s="1266">
        <v>14.99</v>
      </c>
      <c r="N6" s="1263" t="s">
        <v>225</v>
      </c>
      <c r="O6" s="1263" t="s">
        <v>302</v>
      </c>
      <c r="P6" s="1263" t="s">
        <v>303</v>
      </c>
      <c r="Q6" s="1268">
        <v>4825</v>
      </c>
      <c r="R6" s="1268">
        <v>0.86</v>
      </c>
      <c r="S6" s="1269">
        <v>43641</v>
      </c>
      <c r="T6" s="1269">
        <v>43642</v>
      </c>
      <c r="U6" s="1270">
        <v>99</v>
      </c>
      <c r="V6" s="1263" t="s">
        <v>5</v>
      </c>
      <c r="W6" s="1270">
        <v>180</v>
      </c>
      <c r="X6" s="1263" t="s">
        <v>5</v>
      </c>
      <c r="Y6" s="1270">
        <v>0</v>
      </c>
      <c r="Z6" s="1263" t="s">
        <v>306</v>
      </c>
      <c r="AA6" s="1270">
        <v>297</v>
      </c>
      <c r="AB6" s="1270">
        <v>297</v>
      </c>
      <c r="AC6" s="1270">
        <v>389</v>
      </c>
      <c r="AD6" s="1270">
        <v>389</v>
      </c>
      <c r="AE6" s="1270">
        <v>334.1</v>
      </c>
      <c r="AF6" s="1270">
        <v>349.1</v>
      </c>
      <c r="AG6" s="1270">
        <v>608</v>
      </c>
      <c r="AH6" s="1270">
        <v>608</v>
      </c>
      <c r="AI6" s="1270">
        <v>627</v>
      </c>
      <c r="AJ6" s="1270">
        <v>627</v>
      </c>
      <c r="AK6" s="1270">
        <v>622</v>
      </c>
      <c r="AL6" s="1270">
        <v>623</v>
      </c>
      <c r="AM6" s="1270"/>
      <c r="AN6" s="1263"/>
      <c r="AO6" s="1263"/>
      <c r="AP6" s="1263" t="str">
        <f ca="1"/>
        <v>ARKLOW CADET</v>
      </c>
      <c r="AQ6" s="1263"/>
      <c r="AR6" s="1263"/>
      <c r="AS6" s="1263"/>
      <c r="AT6" s="1263"/>
      <c r="AU6" s="1263"/>
      <c r="AV6" s="1263"/>
      <c r="AW6" s="1263"/>
      <c r="AX6" s="1263"/>
      <c r="AY6" s="1263"/>
      <c r="AZ6" s="1263"/>
      <c r="BA6" s="1263"/>
      <c r="BB6" s="1263"/>
      <c r="BC6" s="1263"/>
      <c r="BD6" s="1263"/>
      <c r="BE6" s="1263"/>
      <c r="BF6" s="1263"/>
      <c r="BG6" s="1263"/>
      <c r="BH6" s="1263"/>
      <c r="BI6" s="1263"/>
      <c r="BJ6" s="1263"/>
      <c r="BK6" s="1263"/>
      <c r="BL6" s="1263"/>
      <c r="BM6" s="1263"/>
      <c r="BN6" s="1263"/>
      <c r="BO6" s="1263"/>
      <c r="BP6" s="1263"/>
      <c r="BQ6" s="1263"/>
      <c r="BR6" s="1263"/>
      <c r="BS6" s="1263"/>
      <c r="BT6" s="1263"/>
      <c r="BU6" s="1263"/>
      <c r="BV6" s="1263"/>
      <c r="BW6" s="1263"/>
      <c r="BX6" s="1263"/>
      <c r="BY6" s="1263"/>
      <c r="BZ6" s="1263"/>
      <c r="CA6" s="1263"/>
      <c r="CB6" s="1263"/>
      <c r="CC6" s="1263"/>
      <c r="CD6" s="1263"/>
      <c r="CE6" s="1263"/>
      <c r="CF6" s="1263"/>
      <c r="CG6" s="1263"/>
      <c r="CH6" s="1263"/>
      <c r="CI6" s="1263"/>
      <c r="CJ6" s="1263"/>
      <c r="CK6" s="1263"/>
      <c r="CL6" s="1263"/>
    </row>
    <row r="7" spans="1:90">
      <c r="A7" s="1264">
        <f t="shared" si="0"/>
        <v>6</v>
      </c>
      <c r="B7" s="1271" t="s">
        <v>318</v>
      </c>
      <c r="C7" s="1263" t="s">
        <v>312</v>
      </c>
      <c r="D7" s="1263" t="s">
        <v>313</v>
      </c>
      <c r="E7" s="1266">
        <v>84.99</v>
      </c>
      <c r="F7" s="1266">
        <v>89.99</v>
      </c>
      <c r="G7" s="1266">
        <v>2999</v>
      </c>
      <c r="H7" s="1266">
        <v>1639</v>
      </c>
      <c r="I7" s="1266">
        <v>5053.1000000000004</v>
      </c>
      <c r="J7" s="1266">
        <v>6.2729999999999997</v>
      </c>
      <c r="K7" s="1266">
        <v>1522.8</v>
      </c>
      <c r="L7" s="1267">
        <v>55</v>
      </c>
      <c r="M7" s="1266">
        <v>14</v>
      </c>
      <c r="N7" s="1263" t="s">
        <v>225</v>
      </c>
      <c r="O7" s="1263" t="s">
        <v>302</v>
      </c>
      <c r="P7" s="1263" t="s">
        <v>303</v>
      </c>
      <c r="Q7" s="1268">
        <v>4480</v>
      </c>
      <c r="R7" s="1268">
        <v>0.86</v>
      </c>
      <c r="S7" s="1269">
        <v>44793</v>
      </c>
      <c r="T7" s="1269">
        <v>44794</v>
      </c>
      <c r="U7" s="1270">
        <v>99</v>
      </c>
      <c r="V7" s="1263" t="s">
        <v>5</v>
      </c>
      <c r="W7" s="1270">
        <v>180</v>
      </c>
      <c r="X7" s="1263" t="s">
        <v>5</v>
      </c>
      <c r="Y7" s="1270">
        <v>0</v>
      </c>
      <c r="Z7" s="1263" t="s">
        <v>306</v>
      </c>
      <c r="AA7" s="1270">
        <v>312</v>
      </c>
      <c r="AB7" s="1270">
        <v>312</v>
      </c>
      <c r="AC7" s="1270">
        <v>373</v>
      </c>
      <c r="AD7" s="1270">
        <v>373</v>
      </c>
      <c r="AE7" s="1270">
        <v>340</v>
      </c>
      <c r="AF7" s="1270">
        <v>340</v>
      </c>
      <c r="AG7" s="1270">
        <v>582</v>
      </c>
      <c r="AH7" s="1270">
        <v>582</v>
      </c>
      <c r="AI7" s="1270">
        <v>608</v>
      </c>
      <c r="AJ7" s="1270">
        <v>608</v>
      </c>
      <c r="AK7" s="1270">
        <v>593</v>
      </c>
      <c r="AL7" s="1270">
        <v>599</v>
      </c>
      <c r="AM7" s="1270"/>
      <c r="AN7" s="1263"/>
      <c r="AO7" s="1263"/>
      <c r="AP7" s="1263" t="str">
        <f ca="1"/>
        <v>ARKLOW CAPE</v>
      </c>
      <c r="AQ7" s="1263"/>
      <c r="AR7" s="1263"/>
      <c r="AS7" s="1263"/>
      <c r="AT7" s="1263"/>
      <c r="AU7" s="1263"/>
      <c r="AV7" s="1263"/>
      <c r="AW7" s="1263"/>
      <c r="AX7" s="1263"/>
      <c r="AY7" s="1263"/>
      <c r="AZ7" s="1263"/>
      <c r="BA7" s="1263"/>
      <c r="BB7" s="1263"/>
      <c r="BC7" s="1263"/>
      <c r="BD7" s="1263"/>
      <c r="BE7" s="1263"/>
      <c r="BF7" s="1263"/>
      <c r="BG7" s="1263"/>
      <c r="BH7" s="1263"/>
      <c r="BI7" s="1263"/>
      <c r="BJ7" s="1263"/>
      <c r="BK7" s="1263"/>
      <c r="BL7" s="1263"/>
      <c r="BM7" s="1263"/>
      <c r="BN7" s="1263"/>
      <c r="BO7" s="1263"/>
      <c r="BP7" s="1263"/>
      <c r="BQ7" s="1263"/>
      <c r="BR7" s="1263"/>
      <c r="BS7" s="1263"/>
      <c r="BT7" s="1263"/>
      <c r="BU7" s="1263"/>
      <c r="BV7" s="1263"/>
      <c r="BW7" s="1263"/>
      <c r="BX7" s="1263"/>
      <c r="BY7" s="1263"/>
      <c r="BZ7" s="1263"/>
      <c r="CA7" s="1263"/>
      <c r="CB7" s="1263"/>
      <c r="CC7" s="1263"/>
      <c r="CD7" s="1263"/>
      <c r="CE7" s="1263"/>
      <c r="CF7" s="1263"/>
      <c r="CG7" s="1263"/>
      <c r="CH7" s="1263"/>
      <c r="CI7" s="1263"/>
      <c r="CJ7" s="1263"/>
      <c r="CK7" s="1263"/>
      <c r="CL7" s="1263"/>
    </row>
    <row r="8" spans="1:90">
      <c r="A8" s="1264">
        <f t="shared" si="0"/>
        <v>7</v>
      </c>
      <c r="B8" s="1271" t="s">
        <v>319</v>
      </c>
      <c r="C8" s="1263" t="s">
        <v>312</v>
      </c>
      <c r="D8" s="1263" t="s">
        <v>313</v>
      </c>
      <c r="E8" s="1266">
        <v>84.99</v>
      </c>
      <c r="F8" s="1266">
        <v>87.4</v>
      </c>
      <c r="G8" s="1266">
        <v>2999</v>
      </c>
      <c r="H8" s="1266">
        <v>1692</v>
      </c>
      <c r="I8" s="1266">
        <v>5054</v>
      </c>
      <c r="J8" s="1266">
        <v>6.26</v>
      </c>
      <c r="K8" s="1266">
        <v>1531.8</v>
      </c>
      <c r="L8" s="1267">
        <v>35</v>
      </c>
      <c r="M8" s="1266">
        <v>14.99</v>
      </c>
      <c r="N8" s="1263" t="s">
        <v>225</v>
      </c>
      <c r="O8" s="1263" t="s">
        <v>302</v>
      </c>
      <c r="P8" s="1263" t="s">
        <v>303</v>
      </c>
      <c r="Q8" s="1268">
        <v>4721</v>
      </c>
      <c r="R8" s="1268">
        <v>0.86</v>
      </c>
      <c r="S8" s="1269">
        <v>44256</v>
      </c>
      <c r="T8" s="1269">
        <v>44258</v>
      </c>
      <c r="U8" s="1270">
        <v>99</v>
      </c>
      <c r="V8" s="1263" t="s">
        <v>5</v>
      </c>
      <c r="W8" s="1270">
        <v>180</v>
      </c>
      <c r="X8" s="1263" t="s">
        <v>5</v>
      </c>
      <c r="Y8" s="1270">
        <v>0</v>
      </c>
      <c r="Z8" s="1263" t="s">
        <v>306</v>
      </c>
      <c r="AA8" s="1270">
        <v>252</v>
      </c>
      <c r="AB8" s="1270">
        <v>252</v>
      </c>
      <c r="AC8" s="1270">
        <v>363</v>
      </c>
      <c r="AD8" s="1270">
        <v>363</v>
      </c>
      <c r="AE8" s="1270">
        <v>304</v>
      </c>
      <c r="AF8" s="1270">
        <v>299</v>
      </c>
      <c r="AG8" s="1270">
        <v>584</v>
      </c>
      <c r="AH8" s="1270">
        <v>584</v>
      </c>
      <c r="AI8" s="1270">
        <v>644</v>
      </c>
      <c r="AJ8" s="1270">
        <v>644</v>
      </c>
      <c r="AK8" s="1270">
        <v>616</v>
      </c>
      <c r="AL8" s="1270">
        <v>614</v>
      </c>
      <c r="AM8" s="1270"/>
      <c r="AN8" s="1263"/>
      <c r="AO8" s="1263"/>
      <c r="AP8" s="1263" t="str">
        <f ca="1"/>
        <v>ARKLOW CASTLE</v>
      </c>
      <c r="AQ8" s="1263"/>
      <c r="AR8" s="1263"/>
      <c r="AS8" s="1263"/>
      <c r="AT8" s="1263"/>
      <c r="AU8" s="1263"/>
      <c r="AV8" s="1263"/>
      <c r="AW8" s="1263"/>
      <c r="AX8" s="1263"/>
      <c r="AY8" s="1263"/>
      <c r="AZ8" s="1263"/>
      <c r="BA8" s="1263"/>
      <c r="BB8" s="1263"/>
      <c r="BC8" s="1263"/>
      <c r="BD8" s="1263"/>
      <c r="BE8" s="1263"/>
      <c r="BF8" s="1263"/>
      <c r="BG8" s="1263"/>
      <c r="BH8" s="1263"/>
      <c r="BI8" s="1263"/>
      <c r="BJ8" s="1263"/>
      <c r="BK8" s="1263"/>
      <c r="BL8" s="1263"/>
      <c r="BM8" s="1263"/>
      <c r="BN8" s="1263"/>
      <c r="BO8" s="1263"/>
      <c r="BP8" s="1263"/>
      <c r="BQ8" s="1263"/>
      <c r="BR8" s="1263"/>
      <c r="BS8" s="1263"/>
      <c r="BT8" s="1263"/>
      <c r="BU8" s="1263"/>
      <c r="BV8" s="1263"/>
      <c r="BW8" s="1263"/>
      <c r="BX8" s="1263"/>
      <c r="BY8" s="1263"/>
      <c r="BZ8" s="1263"/>
      <c r="CA8" s="1263"/>
      <c r="CB8" s="1263"/>
      <c r="CC8" s="1263"/>
      <c r="CD8" s="1263"/>
      <c r="CE8" s="1263"/>
      <c r="CF8" s="1263"/>
      <c r="CG8" s="1263"/>
      <c r="CH8" s="1263"/>
      <c r="CI8" s="1263"/>
      <c r="CJ8" s="1263"/>
      <c r="CK8" s="1263"/>
      <c r="CL8" s="1263"/>
    </row>
    <row r="9" spans="1:90">
      <c r="A9" s="1264">
        <f t="shared" si="0"/>
        <v>8</v>
      </c>
      <c r="B9" s="1271" t="s">
        <v>320</v>
      </c>
      <c r="C9" s="1263" t="s">
        <v>312</v>
      </c>
      <c r="D9" s="1263" t="s">
        <v>313</v>
      </c>
      <c r="E9" s="1266">
        <v>84.99</v>
      </c>
      <c r="F9" s="1263">
        <v>87.4</v>
      </c>
      <c r="G9" s="1266">
        <v>2999</v>
      </c>
      <c r="H9" s="1266">
        <v>1692</v>
      </c>
      <c r="I9" s="1266">
        <v>5049</v>
      </c>
      <c r="J9" s="1266">
        <v>6.2729999999999997</v>
      </c>
      <c r="K9" s="1266">
        <v>1526</v>
      </c>
      <c r="L9" s="1267">
        <v>45</v>
      </c>
      <c r="M9" s="1263">
        <v>14.99</v>
      </c>
      <c r="N9" s="1263" t="s">
        <v>225</v>
      </c>
      <c r="O9" s="1263" t="s">
        <v>302</v>
      </c>
      <c r="P9" s="1263" t="s">
        <v>303</v>
      </c>
      <c r="Q9" s="1268">
        <v>4722</v>
      </c>
      <c r="R9" s="1268" t="s">
        <v>305</v>
      </c>
      <c r="S9" s="1269">
        <v>43490</v>
      </c>
      <c r="T9" s="1269">
        <v>43491</v>
      </c>
      <c r="U9" s="1270">
        <v>99</v>
      </c>
      <c r="V9" s="1263" t="s">
        <v>5</v>
      </c>
      <c r="W9" s="1270">
        <v>180</v>
      </c>
      <c r="X9" s="1263" t="s">
        <v>5</v>
      </c>
      <c r="Y9" s="1270">
        <v>0</v>
      </c>
      <c r="Z9" s="1263" t="s">
        <v>306</v>
      </c>
      <c r="AA9" s="1270">
        <v>292</v>
      </c>
      <c r="AB9" s="1270">
        <v>292</v>
      </c>
      <c r="AC9" s="1270">
        <v>404</v>
      </c>
      <c r="AD9" s="1270">
        <v>404</v>
      </c>
      <c r="AE9" s="1270" t="s">
        <v>321</v>
      </c>
      <c r="AF9" s="1270" t="s">
        <v>322</v>
      </c>
      <c r="AG9" s="1270">
        <v>580</v>
      </c>
      <c r="AH9" s="1270">
        <v>580</v>
      </c>
      <c r="AI9" s="1270">
        <v>647</v>
      </c>
      <c r="AJ9" s="1270">
        <v>647</v>
      </c>
      <c r="AK9" s="1270" t="s">
        <v>323</v>
      </c>
      <c r="AL9" s="1270" t="s">
        <v>324</v>
      </c>
      <c r="AM9" s="1270"/>
      <c r="AN9" s="1263"/>
      <c r="AO9" s="1263"/>
      <c r="AP9" s="1263" t="str">
        <f ca="1"/>
        <v>ARKLOW CLAN</v>
      </c>
      <c r="AQ9" s="1263"/>
      <c r="AR9" s="1263"/>
      <c r="AS9" s="1263"/>
      <c r="AT9" s="1263"/>
      <c r="AU9" s="1263"/>
      <c r="AV9" s="1263"/>
      <c r="AW9" s="1263"/>
      <c r="AX9" s="1263"/>
      <c r="AY9" s="1263"/>
      <c r="AZ9" s="1263"/>
      <c r="BA9" s="1263"/>
      <c r="BB9" s="1263"/>
      <c r="BC9" s="1263"/>
      <c r="BD9" s="1263"/>
      <c r="BE9" s="1263"/>
      <c r="BF9" s="1263"/>
      <c r="BG9" s="1263"/>
      <c r="BH9" s="1263"/>
      <c r="BI9" s="1263"/>
      <c r="BJ9" s="1263"/>
      <c r="BK9" s="1263"/>
      <c r="BL9" s="1263"/>
      <c r="BM9" s="1263"/>
      <c r="BN9" s="1263"/>
      <c r="BO9" s="1263"/>
      <c r="BP9" s="1263"/>
      <c r="BQ9" s="1263"/>
      <c r="BR9" s="1263"/>
      <c r="BS9" s="1263"/>
      <c r="BT9" s="1263"/>
      <c r="BU9" s="1263"/>
      <c r="BV9" s="1263"/>
      <c r="BW9" s="1263"/>
      <c r="BX9" s="1263"/>
      <c r="BY9" s="1263"/>
      <c r="BZ9" s="1263"/>
      <c r="CA9" s="1263"/>
      <c r="CB9" s="1263"/>
      <c r="CC9" s="1263"/>
      <c r="CD9" s="1263"/>
      <c r="CE9" s="1263"/>
      <c r="CF9" s="1263"/>
      <c r="CG9" s="1263"/>
      <c r="CH9" s="1263"/>
      <c r="CI9" s="1263"/>
      <c r="CJ9" s="1263"/>
      <c r="CK9" s="1263"/>
      <c r="CL9" s="1263"/>
    </row>
    <row r="10" spans="1:90">
      <c r="A10" s="1264">
        <f t="shared" si="0"/>
        <v>9</v>
      </c>
      <c r="B10" s="1271" t="s">
        <v>325</v>
      </c>
      <c r="C10" s="1263" t="s">
        <v>312</v>
      </c>
      <c r="D10" s="1263" t="s">
        <v>313</v>
      </c>
      <c r="E10" s="1266">
        <v>84.99</v>
      </c>
      <c r="F10" s="1266">
        <v>89.95</v>
      </c>
      <c r="G10" s="1266">
        <v>2998</v>
      </c>
      <c r="H10" s="1266">
        <v>1673</v>
      </c>
      <c r="I10" s="1266">
        <v>4960</v>
      </c>
      <c r="J10" s="1266">
        <v>6.2880000000000003</v>
      </c>
      <c r="K10" s="1266">
        <v>1535.5</v>
      </c>
      <c r="L10" s="1267">
        <v>95</v>
      </c>
      <c r="M10" s="1266">
        <v>14</v>
      </c>
      <c r="N10" s="1263" t="s">
        <v>225</v>
      </c>
      <c r="O10" s="1263" t="s">
        <v>302</v>
      </c>
      <c r="P10" s="1263" t="s">
        <v>303</v>
      </c>
      <c r="Q10" s="1268">
        <v>4699</v>
      </c>
      <c r="R10" s="1268">
        <v>1.0880000000000001</v>
      </c>
      <c r="S10" s="1269" t="s">
        <v>326</v>
      </c>
      <c r="T10" s="1269" t="s">
        <v>327</v>
      </c>
      <c r="U10" s="1270" t="s">
        <v>524</v>
      </c>
      <c r="V10" s="1263" t="s">
        <v>5</v>
      </c>
      <c r="W10" s="1270" t="s">
        <v>525</v>
      </c>
      <c r="X10" s="1263" t="s">
        <v>5</v>
      </c>
      <c r="Y10" s="1270">
        <v>0</v>
      </c>
      <c r="Z10" s="1263" t="s">
        <v>306</v>
      </c>
      <c r="AA10" s="1270">
        <v>318</v>
      </c>
      <c r="AB10" s="1270">
        <v>319</v>
      </c>
      <c r="AC10" s="1270">
        <v>415</v>
      </c>
      <c r="AD10" s="1270">
        <v>415</v>
      </c>
      <c r="AE10" s="1270">
        <v>365</v>
      </c>
      <c r="AF10" s="1270">
        <v>369</v>
      </c>
      <c r="AG10" s="1270">
        <v>615</v>
      </c>
      <c r="AH10" s="1270">
        <v>615</v>
      </c>
      <c r="AI10" s="1270">
        <v>640</v>
      </c>
      <c r="AJ10" s="1270">
        <v>640</v>
      </c>
      <c r="AK10" s="1270">
        <v>632</v>
      </c>
      <c r="AL10" s="1270">
        <v>625.6</v>
      </c>
      <c r="AM10" s="1270"/>
      <c r="AN10" s="1263"/>
      <c r="AO10" s="1263"/>
      <c r="AP10" s="1263" t="str">
        <f ca="1"/>
        <v>ARKLOW CLIFF</v>
      </c>
      <c r="AQ10" s="1263"/>
      <c r="AR10" s="1263"/>
      <c r="AS10" s="1263"/>
      <c r="AT10" s="1263"/>
      <c r="AU10" s="1263"/>
      <c r="AV10" s="1263"/>
      <c r="AW10" s="1263"/>
      <c r="AX10" s="1263"/>
      <c r="AY10" s="1263"/>
      <c r="AZ10" s="1263"/>
      <c r="BA10" s="1263"/>
      <c r="BB10" s="1263"/>
      <c r="BC10" s="1263"/>
      <c r="BD10" s="1263"/>
      <c r="BE10" s="1263"/>
      <c r="BF10" s="1263"/>
      <c r="BG10" s="1263"/>
      <c r="BH10" s="1263"/>
      <c r="BI10" s="1263"/>
      <c r="BJ10" s="1263"/>
      <c r="BK10" s="1263"/>
      <c r="BL10" s="1263"/>
      <c r="BM10" s="1263"/>
      <c r="BN10" s="1263"/>
      <c r="BO10" s="1263"/>
      <c r="BP10" s="1263"/>
      <c r="BQ10" s="1263"/>
      <c r="BR10" s="1263"/>
      <c r="BS10" s="1263"/>
      <c r="BT10" s="1263"/>
      <c r="BU10" s="1263"/>
      <c r="BV10" s="1263"/>
      <c r="BW10" s="1263"/>
      <c r="BX10" s="1263"/>
      <c r="BY10" s="1263"/>
      <c r="BZ10" s="1263"/>
      <c r="CA10" s="1263"/>
      <c r="CB10" s="1263"/>
      <c r="CC10" s="1263"/>
      <c r="CD10" s="1263"/>
      <c r="CE10" s="1263"/>
      <c r="CF10" s="1263"/>
      <c r="CG10" s="1263"/>
      <c r="CH10" s="1263"/>
      <c r="CI10" s="1263"/>
      <c r="CJ10" s="1263"/>
      <c r="CK10" s="1263"/>
      <c r="CL10" s="1263"/>
    </row>
    <row r="11" spans="1:90">
      <c r="A11" s="1264">
        <f t="shared" si="0"/>
        <v>10</v>
      </c>
      <c r="B11" s="1271" t="s">
        <v>328</v>
      </c>
      <c r="C11" s="1263" t="s">
        <v>312</v>
      </c>
      <c r="D11" s="1263" t="s">
        <v>313</v>
      </c>
      <c r="E11" s="1266">
        <v>84.99</v>
      </c>
      <c r="F11" s="1266">
        <v>89.95</v>
      </c>
      <c r="G11" s="1266">
        <v>2998</v>
      </c>
      <c r="H11" s="1266">
        <v>1673</v>
      </c>
      <c r="I11" s="1266">
        <v>4924</v>
      </c>
      <c r="J11" s="1266">
        <v>6.28</v>
      </c>
      <c r="K11" s="1266">
        <v>1506.5</v>
      </c>
      <c r="L11" s="1267">
        <v>65</v>
      </c>
      <c r="M11" s="1266">
        <v>14.4</v>
      </c>
      <c r="N11" s="1263" t="s">
        <v>225</v>
      </c>
      <c r="O11" s="1263" t="s">
        <v>302</v>
      </c>
      <c r="P11" s="1263" t="s">
        <v>303</v>
      </c>
      <c r="Q11" s="1268">
        <v>4560</v>
      </c>
      <c r="R11" s="1268">
        <v>0.85</v>
      </c>
      <c r="S11" s="1269">
        <v>44352</v>
      </c>
      <c r="T11" s="1269">
        <v>44353</v>
      </c>
      <c r="U11" s="1270">
        <v>227.5</v>
      </c>
      <c r="V11" s="1263" t="s">
        <v>5</v>
      </c>
      <c r="W11" s="1270">
        <v>140</v>
      </c>
      <c r="X11" s="1263" t="s">
        <v>5</v>
      </c>
      <c r="Y11" s="1270">
        <v>0</v>
      </c>
      <c r="Z11" s="1263" t="s">
        <v>306</v>
      </c>
      <c r="AA11" s="1270">
        <v>301</v>
      </c>
      <c r="AB11" s="1270">
        <v>301</v>
      </c>
      <c r="AC11" s="1270">
        <v>360</v>
      </c>
      <c r="AD11" s="1270">
        <v>360</v>
      </c>
      <c r="AE11" s="1270">
        <v>327.60000000000002</v>
      </c>
      <c r="AF11" s="1270">
        <v>330.6</v>
      </c>
      <c r="AG11" s="1270">
        <v>584</v>
      </c>
      <c r="AH11" s="1270">
        <v>584</v>
      </c>
      <c r="AI11" s="1270">
        <v>622</v>
      </c>
      <c r="AJ11" s="1270">
        <v>622</v>
      </c>
      <c r="AK11" s="1270">
        <v>611.6</v>
      </c>
      <c r="AL11" s="1270">
        <v>607.6</v>
      </c>
      <c r="AM11" s="1270"/>
      <c r="AN11" s="1263"/>
      <c r="AO11" s="1263"/>
      <c r="AP11" s="1263" t="str">
        <f ca="1"/>
        <v>ARKLOW FOREST</v>
      </c>
      <c r="AQ11" s="1263"/>
      <c r="AR11" s="1263"/>
      <c r="AS11" s="1263"/>
      <c r="AT11" s="1263"/>
      <c r="AU11" s="1263"/>
      <c r="AV11" s="1263"/>
      <c r="AW11" s="1263"/>
      <c r="AX11" s="1263"/>
      <c r="AY11" s="1263"/>
      <c r="AZ11" s="1263"/>
      <c r="BA11" s="1263"/>
      <c r="BB11" s="1263"/>
      <c r="BC11" s="1263"/>
      <c r="BD11" s="1263"/>
      <c r="BE11" s="1263"/>
      <c r="BF11" s="1263"/>
      <c r="BG11" s="1263"/>
      <c r="BH11" s="1263"/>
      <c r="BI11" s="1263"/>
      <c r="BJ11" s="1263"/>
      <c r="BK11" s="1263"/>
      <c r="BL11" s="1263"/>
      <c r="BM11" s="1263"/>
      <c r="BN11" s="1263"/>
      <c r="BO11" s="1263"/>
      <c r="BP11" s="1263"/>
      <c r="BQ11" s="1263"/>
      <c r="BR11" s="1263"/>
      <c r="BS11" s="1263"/>
      <c r="BT11" s="1263"/>
      <c r="BU11" s="1263"/>
      <c r="BV11" s="1263"/>
      <c r="BW11" s="1263"/>
      <c r="BX11" s="1263"/>
      <c r="BY11" s="1263"/>
      <c r="BZ11" s="1263"/>
      <c r="CA11" s="1263"/>
      <c r="CB11" s="1263"/>
      <c r="CC11" s="1263"/>
      <c r="CD11" s="1263"/>
      <c r="CE11" s="1263"/>
      <c r="CF11" s="1263"/>
      <c r="CG11" s="1263"/>
      <c r="CH11" s="1263"/>
      <c r="CI11" s="1263"/>
      <c r="CJ11" s="1263"/>
      <c r="CK11" s="1263"/>
      <c r="CL11" s="1263"/>
    </row>
    <row r="12" spans="1:90">
      <c r="A12" s="1264">
        <f t="shared" si="0"/>
        <v>11</v>
      </c>
      <c r="B12" s="1271" t="s">
        <v>329</v>
      </c>
      <c r="C12" s="1263" t="s">
        <v>312</v>
      </c>
      <c r="D12" s="1263" t="s">
        <v>313</v>
      </c>
      <c r="E12" s="1266">
        <v>84.99</v>
      </c>
      <c r="F12" s="1263">
        <v>89.95</v>
      </c>
      <c r="G12" s="1266">
        <v>2998</v>
      </c>
      <c r="H12" s="1266">
        <v>1673</v>
      </c>
      <c r="I12" s="1266">
        <v>4953.74</v>
      </c>
      <c r="J12" s="1266">
        <v>6.2869999999999999</v>
      </c>
      <c r="K12" s="1266">
        <v>1535.5</v>
      </c>
      <c r="L12" s="1267">
        <v>80</v>
      </c>
      <c r="M12" s="1263">
        <v>14.4</v>
      </c>
      <c r="N12" s="1263" t="s">
        <v>225</v>
      </c>
      <c r="O12" s="1263" t="s">
        <v>302</v>
      </c>
      <c r="P12" s="1263" t="s">
        <v>303</v>
      </c>
      <c r="Q12" s="1268">
        <v>4670</v>
      </c>
      <c r="R12" s="1268" t="s">
        <v>305</v>
      </c>
      <c r="S12" s="1269">
        <v>44700</v>
      </c>
      <c r="T12" s="1269">
        <v>44701</v>
      </c>
      <c r="U12" s="1270">
        <v>230</v>
      </c>
      <c r="V12" s="1263" t="s">
        <v>5</v>
      </c>
      <c r="W12" s="1270">
        <v>168</v>
      </c>
      <c r="X12" s="1263" t="s">
        <v>5</v>
      </c>
      <c r="Y12" s="1270">
        <v>0</v>
      </c>
      <c r="Z12" s="1263" t="s">
        <v>306</v>
      </c>
      <c r="AA12" s="1270">
        <v>298</v>
      </c>
      <c r="AB12" s="1270">
        <v>298</v>
      </c>
      <c r="AC12" s="1270">
        <v>397</v>
      </c>
      <c r="AD12" s="1270">
        <v>397</v>
      </c>
      <c r="AE12" s="1270">
        <v>347</v>
      </c>
      <c r="AF12" s="1270">
        <v>347</v>
      </c>
      <c r="AG12" s="1270">
        <v>604</v>
      </c>
      <c r="AH12" s="1270">
        <v>604</v>
      </c>
      <c r="AI12" s="1270">
        <v>622</v>
      </c>
      <c r="AJ12" s="1270">
        <v>622</v>
      </c>
      <c r="AK12" s="1270" t="s">
        <v>330</v>
      </c>
      <c r="AL12" s="1270" t="s">
        <v>331</v>
      </c>
      <c r="AM12" s="1270"/>
      <c r="AN12" s="1263"/>
      <c r="AO12" s="1263"/>
      <c r="AP12" s="1263" t="str">
        <f ca="1"/>
        <v>ARKLOW FALCON</v>
      </c>
      <c r="AQ12" s="1263"/>
      <c r="AR12" s="1263"/>
      <c r="AS12" s="1263"/>
      <c r="AT12" s="1263"/>
      <c r="AU12" s="1263"/>
      <c r="AV12" s="1263"/>
      <c r="AW12" s="1263"/>
      <c r="AX12" s="1263"/>
      <c r="AY12" s="1263"/>
      <c r="AZ12" s="1263"/>
      <c r="BA12" s="1263"/>
      <c r="BB12" s="1263"/>
      <c r="BC12" s="1263"/>
      <c r="BD12" s="1263"/>
      <c r="BE12" s="1263"/>
      <c r="BF12" s="1263"/>
      <c r="BG12" s="1263"/>
      <c r="BH12" s="1263"/>
      <c r="BI12" s="1263"/>
      <c r="BJ12" s="1263"/>
      <c r="BK12" s="1263"/>
      <c r="BL12" s="1263"/>
      <c r="BM12" s="1263"/>
      <c r="BN12" s="1263"/>
      <c r="BO12" s="1263"/>
      <c r="BP12" s="1263"/>
      <c r="BQ12" s="1263"/>
      <c r="BR12" s="1263"/>
      <c r="BS12" s="1263"/>
      <c r="BT12" s="1263"/>
      <c r="BU12" s="1263"/>
      <c r="BV12" s="1263"/>
      <c r="BW12" s="1263"/>
      <c r="BX12" s="1263"/>
      <c r="BY12" s="1263"/>
      <c r="BZ12" s="1263"/>
      <c r="CA12" s="1263"/>
      <c r="CB12" s="1263"/>
      <c r="CC12" s="1263"/>
      <c r="CD12" s="1263"/>
      <c r="CE12" s="1263"/>
      <c r="CF12" s="1263"/>
      <c r="CG12" s="1263"/>
      <c r="CH12" s="1263"/>
      <c r="CI12" s="1263"/>
      <c r="CJ12" s="1263"/>
      <c r="CK12" s="1263"/>
      <c r="CL12" s="1263"/>
    </row>
    <row r="13" spans="1:90">
      <c r="A13" s="1264">
        <f t="shared" si="0"/>
        <v>12</v>
      </c>
      <c r="B13" s="1271" t="s">
        <v>332</v>
      </c>
      <c r="C13" s="1263" t="s">
        <v>312</v>
      </c>
      <c r="D13" s="1263" t="s">
        <v>313</v>
      </c>
      <c r="E13" s="1266">
        <v>84.99</v>
      </c>
      <c r="F13" s="1263">
        <v>89.95</v>
      </c>
      <c r="G13" s="1266">
        <v>2998</v>
      </c>
      <c r="H13" s="1266">
        <v>1673</v>
      </c>
      <c r="I13" s="1266">
        <v>4950</v>
      </c>
      <c r="J13" s="1266">
        <v>6.28</v>
      </c>
      <c r="K13" s="1266">
        <v>1535.5</v>
      </c>
      <c r="L13" s="1267">
        <v>66</v>
      </c>
      <c r="M13" s="1263">
        <v>14.4</v>
      </c>
      <c r="N13" s="1263" t="s">
        <v>225</v>
      </c>
      <c r="O13" s="1263" t="s">
        <v>302</v>
      </c>
      <c r="P13" s="1263" t="s">
        <v>303</v>
      </c>
      <c r="Q13" s="1268">
        <v>4691</v>
      </c>
      <c r="R13" s="1268" t="s">
        <v>333</v>
      </c>
      <c r="S13" s="1269">
        <v>44373</v>
      </c>
      <c r="T13" s="1269">
        <v>44374</v>
      </c>
      <c r="U13" s="1270" t="s">
        <v>334</v>
      </c>
      <c r="V13" s="1263" t="s">
        <v>5</v>
      </c>
      <c r="W13" s="1270">
        <v>170</v>
      </c>
      <c r="X13" s="1263" t="s">
        <v>5</v>
      </c>
      <c r="Y13" s="1270">
        <v>140</v>
      </c>
      <c r="Z13" s="1263" t="s">
        <v>5</v>
      </c>
      <c r="AA13" s="1270">
        <v>310</v>
      </c>
      <c r="AB13" s="1270">
        <v>310</v>
      </c>
      <c r="AC13" s="1270">
        <v>395</v>
      </c>
      <c r="AD13" s="1270">
        <v>395</v>
      </c>
      <c r="AE13" s="1270" t="s">
        <v>335</v>
      </c>
      <c r="AF13" s="1270" t="s">
        <v>336</v>
      </c>
      <c r="AG13" s="1270">
        <v>603</v>
      </c>
      <c r="AH13" s="1270">
        <v>603</v>
      </c>
      <c r="AI13" s="1270">
        <v>648</v>
      </c>
      <c r="AJ13" s="1270">
        <v>648</v>
      </c>
      <c r="AK13" s="1270" t="s">
        <v>337</v>
      </c>
      <c r="AL13" s="1270" t="s">
        <v>337</v>
      </c>
      <c r="AM13" s="1270"/>
      <c r="AN13" s="1263"/>
      <c r="AO13" s="1263"/>
      <c r="AP13" s="1263" t="str">
        <f ca="1"/>
        <v>ARKLOW FERN</v>
      </c>
      <c r="AQ13" s="1263"/>
      <c r="AR13" s="1263"/>
      <c r="AS13" s="1263"/>
      <c r="AT13" s="1263"/>
      <c r="AU13" s="1263"/>
      <c r="AV13" s="1263"/>
      <c r="AW13" s="1263"/>
      <c r="AX13" s="1263"/>
      <c r="AY13" s="1263"/>
      <c r="AZ13" s="1263"/>
      <c r="BA13" s="1263"/>
      <c r="BB13" s="1263"/>
      <c r="BC13" s="1263"/>
      <c r="BD13" s="1263"/>
      <c r="BE13" s="1263"/>
      <c r="BF13" s="1263"/>
      <c r="BG13" s="1263"/>
      <c r="BH13" s="1263"/>
      <c r="BI13" s="1263"/>
      <c r="BJ13" s="1263"/>
      <c r="BK13" s="1263"/>
      <c r="BL13" s="1263"/>
      <c r="BM13" s="1263"/>
      <c r="BN13" s="1263"/>
      <c r="BO13" s="1263"/>
      <c r="BP13" s="1263"/>
      <c r="BQ13" s="1263"/>
      <c r="BR13" s="1263"/>
      <c r="BS13" s="1263"/>
      <c r="BT13" s="1263"/>
      <c r="BU13" s="1263"/>
      <c r="BV13" s="1263"/>
      <c r="BW13" s="1263"/>
      <c r="BX13" s="1263"/>
      <c r="BY13" s="1263"/>
      <c r="BZ13" s="1263"/>
      <c r="CA13" s="1263"/>
      <c r="CB13" s="1263"/>
      <c r="CC13" s="1263"/>
      <c r="CD13" s="1263"/>
      <c r="CE13" s="1263"/>
      <c r="CF13" s="1263"/>
      <c r="CG13" s="1263"/>
      <c r="CH13" s="1263"/>
      <c r="CI13" s="1263"/>
      <c r="CJ13" s="1263"/>
      <c r="CK13" s="1263"/>
      <c r="CL13" s="1263"/>
    </row>
    <row r="14" spans="1:90">
      <c r="A14" s="1264">
        <f t="shared" si="0"/>
        <v>13</v>
      </c>
      <c r="B14" s="1271" t="s">
        <v>338</v>
      </c>
      <c r="C14" s="1263" t="s">
        <v>312</v>
      </c>
      <c r="D14" s="1263" t="s">
        <v>313</v>
      </c>
      <c r="E14" s="1266">
        <v>84.99</v>
      </c>
      <c r="F14" s="1263">
        <v>89.99</v>
      </c>
      <c r="G14" s="1266">
        <v>2999</v>
      </c>
      <c r="H14" s="1266">
        <v>1639</v>
      </c>
      <c r="I14" s="1266">
        <v>4933</v>
      </c>
      <c r="J14" s="1266">
        <v>6.1</v>
      </c>
      <c r="K14" s="1266">
        <v>1459.06</v>
      </c>
      <c r="L14" s="1267">
        <v>65</v>
      </c>
      <c r="M14" s="1266">
        <v>14</v>
      </c>
      <c r="N14" s="1263" t="s">
        <v>225</v>
      </c>
      <c r="O14" s="1263" t="s">
        <v>302</v>
      </c>
      <c r="P14" s="1263" t="s">
        <v>303</v>
      </c>
      <c r="Q14" s="1268">
        <v>4720</v>
      </c>
      <c r="R14" s="1268" t="s">
        <v>305</v>
      </c>
      <c r="S14" s="1269">
        <v>43962</v>
      </c>
      <c r="T14" s="1269">
        <v>44328</v>
      </c>
      <c r="U14" s="1270">
        <v>20</v>
      </c>
      <c r="V14" s="1263" t="s">
        <v>5</v>
      </c>
      <c r="W14" s="1270">
        <v>210</v>
      </c>
      <c r="X14" s="1263" t="s">
        <v>5</v>
      </c>
      <c r="Y14" s="1270">
        <v>0</v>
      </c>
      <c r="Z14" s="1263" t="s">
        <v>306</v>
      </c>
      <c r="AA14" s="1270">
        <v>329</v>
      </c>
      <c r="AB14" s="1270">
        <v>327</v>
      </c>
      <c r="AC14" s="1270">
        <v>354</v>
      </c>
      <c r="AD14" s="1270">
        <v>354</v>
      </c>
      <c r="AE14" s="1270" t="s">
        <v>339</v>
      </c>
      <c r="AF14" s="1270" t="s">
        <v>340</v>
      </c>
      <c r="AG14" s="1270">
        <v>582</v>
      </c>
      <c r="AH14" s="1270">
        <v>582</v>
      </c>
      <c r="AI14" s="1270">
        <v>630</v>
      </c>
      <c r="AJ14" s="1270">
        <v>630</v>
      </c>
      <c r="AK14" s="1270" t="s">
        <v>341</v>
      </c>
      <c r="AL14" s="1270" t="s">
        <v>342</v>
      </c>
      <c r="AM14" s="1270"/>
      <c r="AN14" s="1263"/>
      <c r="AO14" s="1263"/>
      <c r="AP14" s="1263" t="str">
        <f ca="1"/>
        <v>ARKLOW FIELD</v>
      </c>
      <c r="AQ14" s="1263"/>
      <c r="AR14" s="1263"/>
      <c r="AS14" s="1263"/>
      <c r="AT14" s="1263"/>
      <c r="AU14" s="1263"/>
      <c r="AV14" s="1263"/>
      <c r="AW14" s="1263"/>
      <c r="AX14" s="1263"/>
      <c r="AY14" s="1263"/>
      <c r="AZ14" s="1263"/>
      <c r="BA14" s="1263"/>
      <c r="BB14" s="1263"/>
      <c r="BC14" s="1263"/>
      <c r="BD14" s="1263"/>
      <c r="BE14" s="1263"/>
      <c r="BF14" s="1263"/>
      <c r="BG14" s="1263"/>
      <c r="BH14" s="1263"/>
      <c r="BI14" s="1263"/>
      <c r="BJ14" s="1263"/>
      <c r="BK14" s="1263"/>
      <c r="BL14" s="1263"/>
      <c r="BM14" s="1263"/>
      <c r="BN14" s="1263"/>
      <c r="BO14" s="1263"/>
      <c r="BP14" s="1263"/>
      <c r="BQ14" s="1263"/>
      <c r="BR14" s="1263"/>
      <c r="BS14" s="1263"/>
      <c r="BT14" s="1263"/>
      <c r="BU14" s="1263"/>
      <c r="BV14" s="1263"/>
      <c r="BW14" s="1263"/>
      <c r="BX14" s="1263"/>
      <c r="BY14" s="1263"/>
      <c r="BZ14" s="1263"/>
      <c r="CA14" s="1263"/>
      <c r="CB14" s="1263"/>
      <c r="CC14" s="1263"/>
      <c r="CD14" s="1263"/>
      <c r="CE14" s="1263"/>
      <c r="CF14" s="1263"/>
      <c r="CG14" s="1263"/>
      <c r="CH14" s="1263"/>
      <c r="CI14" s="1263"/>
      <c r="CJ14" s="1263"/>
      <c r="CK14" s="1263"/>
      <c r="CL14" s="1263"/>
    </row>
    <row r="15" spans="1:90">
      <c r="A15" s="1264">
        <f t="shared" si="0"/>
        <v>14</v>
      </c>
      <c r="B15" s="1271" t="s">
        <v>343</v>
      </c>
      <c r="C15" s="1263" t="s">
        <v>300</v>
      </c>
      <c r="D15" s="1263" t="s">
        <v>301</v>
      </c>
      <c r="E15" s="1266">
        <v>84.98</v>
      </c>
      <c r="F15" s="1266">
        <v>89.99</v>
      </c>
      <c r="G15" s="1266">
        <v>2999</v>
      </c>
      <c r="H15" s="1266">
        <v>1639</v>
      </c>
      <c r="I15" s="1266">
        <v>4960</v>
      </c>
      <c r="J15" s="1266">
        <v>6.1</v>
      </c>
      <c r="K15" s="1266">
        <v>1459</v>
      </c>
      <c r="L15" s="1267">
        <v>50</v>
      </c>
      <c r="M15" s="1266">
        <v>14</v>
      </c>
      <c r="N15" s="1263" t="s">
        <v>225</v>
      </c>
      <c r="O15" s="1263" t="s">
        <v>302</v>
      </c>
      <c r="P15" s="1263" t="s">
        <v>303</v>
      </c>
      <c r="Q15" s="1268">
        <v>4722</v>
      </c>
      <c r="R15" s="1268">
        <v>0.86</v>
      </c>
      <c r="S15" s="1269">
        <v>44356</v>
      </c>
      <c r="T15" s="1269">
        <v>44358</v>
      </c>
      <c r="U15" s="1270">
        <v>20</v>
      </c>
      <c r="V15" s="1263" t="s">
        <v>5</v>
      </c>
      <c r="W15" s="1270">
        <v>540</v>
      </c>
      <c r="X15" s="1263" t="s">
        <v>226</v>
      </c>
      <c r="Y15" s="1270">
        <v>190</v>
      </c>
      <c r="Z15" s="1263" t="s">
        <v>5</v>
      </c>
      <c r="AA15" s="1270">
        <v>299</v>
      </c>
      <c r="AB15" s="1270">
        <v>299</v>
      </c>
      <c r="AC15" s="1270">
        <v>380</v>
      </c>
      <c r="AD15" s="1270">
        <v>380</v>
      </c>
      <c r="AE15" s="1270">
        <v>351.2</v>
      </c>
      <c r="AF15" s="1270">
        <v>328.2</v>
      </c>
      <c r="AG15" s="1270">
        <v>587</v>
      </c>
      <c r="AH15" s="1270">
        <v>587</v>
      </c>
      <c r="AI15" s="1270">
        <v>621</v>
      </c>
      <c r="AJ15" s="1270">
        <v>621</v>
      </c>
      <c r="AK15" s="1270">
        <v>609.20000000000005</v>
      </c>
      <c r="AL15" s="1270">
        <v>600.20000000000005</v>
      </c>
      <c r="AM15" s="1270"/>
      <c r="AN15" s="1263"/>
      <c r="AO15" s="1263"/>
      <c r="AP15" s="1263" t="str">
        <f ca="1"/>
        <v>ARKLOW RAINBOW</v>
      </c>
      <c r="AQ15" s="1263"/>
      <c r="AR15" s="1263"/>
      <c r="AS15" s="1263"/>
      <c r="AT15" s="1263"/>
      <c r="AU15" s="1263"/>
      <c r="AV15" s="1263"/>
      <c r="AW15" s="1263"/>
      <c r="AX15" s="1263"/>
      <c r="AY15" s="1263"/>
      <c r="AZ15" s="1263"/>
      <c r="BA15" s="1263"/>
      <c r="BB15" s="1263"/>
      <c r="BC15" s="1263"/>
      <c r="BD15" s="1263"/>
      <c r="BE15" s="1263"/>
      <c r="BF15" s="1263"/>
      <c r="BG15" s="1263"/>
      <c r="BH15" s="1263"/>
      <c r="BI15" s="1263"/>
      <c r="BJ15" s="1263"/>
      <c r="BK15" s="1263"/>
      <c r="BL15" s="1263"/>
      <c r="BM15" s="1263"/>
      <c r="BN15" s="1263"/>
      <c r="BO15" s="1263"/>
      <c r="BP15" s="1263"/>
      <c r="BQ15" s="1263"/>
      <c r="BR15" s="1263"/>
      <c r="BS15" s="1263"/>
      <c r="BT15" s="1263"/>
      <c r="BU15" s="1263"/>
      <c r="BV15" s="1263"/>
      <c r="BW15" s="1263"/>
      <c r="BX15" s="1263"/>
      <c r="BY15" s="1263"/>
      <c r="BZ15" s="1263"/>
      <c r="CA15" s="1263"/>
      <c r="CB15" s="1263"/>
      <c r="CC15" s="1263"/>
      <c r="CD15" s="1263"/>
      <c r="CE15" s="1263"/>
      <c r="CF15" s="1263"/>
      <c r="CG15" s="1263"/>
      <c r="CH15" s="1263"/>
      <c r="CI15" s="1263"/>
      <c r="CJ15" s="1263"/>
      <c r="CK15" s="1263"/>
      <c r="CL15" s="1263"/>
    </row>
    <row r="16" spans="1:90">
      <c r="A16" s="1264">
        <f t="shared" si="0"/>
        <v>15</v>
      </c>
      <c r="B16" s="1271" t="s">
        <v>344</v>
      </c>
      <c r="C16" s="1263" t="s">
        <v>312</v>
      </c>
      <c r="D16" s="1263" t="s">
        <v>313</v>
      </c>
      <c r="E16" s="1266">
        <v>84.98</v>
      </c>
      <c r="F16" s="1266">
        <v>89.99</v>
      </c>
      <c r="G16" s="1266">
        <v>2999</v>
      </c>
      <c r="H16" s="1266">
        <v>1639</v>
      </c>
      <c r="I16" s="1266">
        <v>4960</v>
      </c>
      <c r="J16" s="1266">
        <v>6.1</v>
      </c>
      <c r="K16" s="1266">
        <v>1458</v>
      </c>
      <c r="L16" s="1267">
        <v>55</v>
      </c>
      <c r="M16" s="1266">
        <v>14</v>
      </c>
      <c r="N16" s="1263" t="s">
        <v>225</v>
      </c>
      <c r="O16" s="1263" t="s">
        <v>302</v>
      </c>
      <c r="P16" s="1263" t="s">
        <v>303</v>
      </c>
      <c r="Q16" s="1268">
        <v>4595</v>
      </c>
      <c r="R16" s="1268">
        <v>0.86</v>
      </c>
      <c r="S16" s="1269">
        <v>44513</v>
      </c>
      <c r="T16" s="1269">
        <v>44514</v>
      </c>
      <c r="U16" s="1270">
        <v>0</v>
      </c>
      <c r="V16" s="1263" t="s">
        <v>5</v>
      </c>
      <c r="W16" s="1270">
        <v>190</v>
      </c>
      <c r="X16" s="1263" t="s">
        <v>5</v>
      </c>
      <c r="Y16" s="1270">
        <v>0</v>
      </c>
      <c r="Z16" s="1263" t="s">
        <v>306</v>
      </c>
      <c r="AA16" s="1270">
        <v>308</v>
      </c>
      <c r="AB16" s="1270">
        <v>308</v>
      </c>
      <c r="AC16" s="1270">
        <v>362</v>
      </c>
      <c r="AD16" s="1270">
        <v>362</v>
      </c>
      <c r="AE16" s="1270">
        <v>330</v>
      </c>
      <c r="AF16" s="1270">
        <v>330</v>
      </c>
      <c r="AG16" s="1270">
        <v>582</v>
      </c>
      <c r="AH16" s="1270">
        <v>582</v>
      </c>
      <c r="AI16" s="1270">
        <v>608</v>
      </c>
      <c r="AJ16" s="1270">
        <v>608</v>
      </c>
      <c r="AK16" s="1270">
        <v>593.20000000000005</v>
      </c>
      <c r="AL16" s="1270">
        <v>599.20000000000005</v>
      </c>
      <c r="AM16" s="1270"/>
      <c r="AN16" s="1263"/>
      <c r="AO16" s="1263"/>
      <c r="AP16" s="1263" t="str">
        <f ca="1"/>
        <v>ARKLOW RIVAL</v>
      </c>
      <c r="AQ16" s="1263"/>
      <c r="AR16" s="1263"/>
      <c r="AS16" s="1263"/>
      <c r="AT16" s="1263"/>
      <c r="AU16" s="1263"/>
      <c r="AV16" s="1263"/>
      <c r="AW16" s="1263"/>
      <c r="AX16" s="1263"/>
      <c r="AY16" s="1263"/>
      <c r="AZ16" s="1263"/>
      <c r="BA16" s="1263"/>
      <c r="BB16" s="1263"/>
      <c r="BC16" s="1263"/>
      <c r="BD16" s="1263"/>
      <c r="BE16" s="1263"/>
      <c r="BF16" s="1263"/>
      <c r="BG16" s="1263"/>
      <c r="BH16" s="1263"/>
      <c r="BI16" s="1263"/>
      <c r="BJ16" s="1263"/>
      <c r="BK16" s="1263"/>
      <c r="BL16" s="1263"/>
      <c r="BM16" s="1263"/>
      <c r="BN16" s="1263"/>
      <c r="BO16" s="1263"/>
      <c r="BP16" s="1263"/>
      <c r="BQ16" s="1263"/>
      <c r="BR16" s="1263"/>
      <c r="BS16" s="1263"/>
      <c r="BT16" s="1263"/>
      <c r="BU16" s="1263"/>
      <c r="BV16" s="1263"/>
      <c r="BW16" s="1263"/>
      <c r="BX16" s="1263"/>
      <c r="BY16" s="1263"/>
      <c r="BZ16" s="1263"/>
      <c r="CA16" s="1263"/>
      <c r="CB16" s="1263"/>
      <c r="CC16" s="1263"/>
      <c r="CD16" s="1263"/>
      <c r="CE16" s="1263"/>
      <c r="CF16" s="1263"/>
      <c r="CG16" s="1263"/>
      <c r="CH16" s="1263"/>
      <c r="CI16" s="1263"/>
      <c r="CJ16" s="1263"/>
      <c r="CK16" s="1263"/>
      <c r="CL16" s="1263"/>
    </row>
    <row r="17" spans="1:90">
      <c r="A17" s="1264">
        <f t="shared" si="0"/>
        <v>16</v>
      </c>
      <c r="B17" s="1271" t="s">
        <v>345</v>
      </c>
      <c r="C17" s="1263" t="s">
        <v>312</v>
      </c>
      <c r="D17" s="1263" t="s">
        <v>313</v>
      </c>
      <c r="E17" s="1266">
        <v>84.99</v>
      </c>
      <c r="F17" s="1266">
        <v>89.99</v>
      </c>
      <c r="G17" s="1266">
        <v>2999</v>
      </c>
      <c r="H17" s="1266">
        <v>1639</v>
      </c>
      <c r="I17" s="1266">
        <v>4933</v>
      </c>
      <c r="J17" s="1266">
        <v>6.1</v>
      </c>
      <c r="K17" s="1266">
        <v>1456</v>
      </c>
      <c r="L17" s="1267">
        <v>65</v>
      </c>
      <c r="M17" s="1266">
        <v>14.18</v>
      </c>
      <c r="N17" s="1263" t="s">
        <v>225</v>
      </c>
      <c r="O17" s="1263" t="s">
        <v>302</v>
      </c>
      <c r="P17" s="1263" t="s">
        <v>303</v>
      </c>
      <c r="Q17" s="1268">
        <v>4665</v>
      </c>
      <c r="R17" s="1268">
        <v>1.0149999999999999</v>
      </c>
      <c r="S17" s="1269">
        <v>44208</v>
      </c>
      <c r="T17" s="1269">
        <v>44209</v>
      </c>
      <c r="U17" s="1270">
        <v>0</v>
      </c>
      <c r="V17" s="1263" t="s">
        <v>5</v>
      </c>
      <c r="W17" s="1270">
        <v>200</v>
      </c>
      <c r="X17" s="1263" t="s">
        <v>5</v>
      </c>
      <c r="Y17" s="1270">
        <v>0</v>
      </c>
      <c r="Z17" s="1263" t="s">
        <v>306</v>
      </c>
      <c r="AA17" s="1270">
        <v>317</v>
      </c>
      <c r="AB17" s="1270">
        <v>317</v>
      </c>
      <c r="AC17" s="1270">
        <v>330</v>
      </c>
      <c r="AD17" s="1270">
        <v>330</v>
      </c>
      <c r="AE17" s="1270">
        <v>328.2</v>
      </c>
      <c r="AF17" s="1270">
        <v>313.2</v>
      </c>
      <c r="AG17" s="1270">
        <v>582</v>
      </c>
      <c r="AH17" s="1270">
        <v>582</v>
      </c>
      <c r="AI17" s="1270">
        <v>617</v>
      </c>
      <c r="AJ17" s="1270">
        <v>617</v>
      </c>
      <c r="AK17" s="1270">
        <v>603</v>
      </c>
      <c r="AL17" s="1270">
        <v>599</v>
      </c>
      <c r="AM17" s="1270"/>
      <c r="AN17" s="1263"/>
      <c r="AO17" s="1263"/>
      <c r="AP17" s="1263" t="str">
        <f ca="1"/>
        <v>ARKLOW ROGUE</v>
      </c>
      <c r="AQ17" s="1263"/>
      <c r="AR17" s="1263"/>
      <c r="AS17" s="1263"/>
      <c r="AT17" s="1263"/>
      <c r="AU17" s="1263"/>
      <c r="AV17" s="1263"/>
      <c r="AW17" s="1263"/>
      <c r="AX17" s="1263"/>
      <c r="AY17" s="1263"/>
      <c r="AZ17" s="1263"/>
      <c r="BA17" s="1263"/>
      <c r="BB17" s="1263"/>
      <c r="BC17" s="1263"/>
      <c r="BD17" s="1263"/>
      <c r="BE17" s="1263"/>
      <c r="BF17" s="1263"/>
      <c r="BG17" s="1263"/>
      <c r="BH17" s="1263"/>
      <c r="BI17" s="1263"/>
      <c r="BJ17" s="1263"/>
      <c r="BK17" s="1263"/>
      <c r="BL17" s="1263"/>
      <c r="BM17" s="1263"/>
      <c r="BN17" s="1263"/>
      <c r="BO17" s="1263"/>
      <c r="BP17" s="1263"/>
      <c r="BQ17" s="1263"/>
      <c r="BR17" s="1263"/>
      <c r="BS17" s="1263"/>
      <c r="BT17" s="1263"/>
      <c r="BU17" s="1263"/>
      <c r="BV17" s="1263"/>
      <c r="BW17" s="1263"/>
      <c r="BX17" s="1263"/>
      <c r="BY17" s="1263"/>
      <c r="BZ17" s="1263"/>
      <c r="CA17" s="1263"/>
      <c r="CB17" s="1263"/>
      <c r="CC17" s="1263"/>
      <c r="CD17" s="1263"/>
      <c r="CE17" s="1263"/>
      <c r="CF17" s="1263"/>
      <c r="CG17" s="1263"/>
      <c r="CH17" s="1263"/>
      <c r="CI17" s="1263"/>
      <c r="CJ17" s="1263"/>
      <c r="CK17" s="1263"/>
      <c r="CL17" s="1263"/>
    </row>
    <row r="18" spans="1:90">
      <c r="A18" s="1264">
        <f t="shared" si="0"/>
        <v>17</v>
      </c>
      <c r="B18" s="1271" t="s">
        <v>346</v>
      </c>
      <c r="C18" s="1263" t="s">
        <v>300</v>
      </c>
      <c r="D18" s="1263" t="s">
        <v>301</v>
      </c>
      <c r="E18" s="1266">
        <v>84.99</v>
      </c>
      <c r="F18" s="1266">
        <v>86.93</v>
      </c>
      <c r="G18" s="1266">
        <v>2999</v>
      </c>
      <c r="H18" s="1266">
        <v>1731</v>
      </c>
      <c r="I18" s="1266">
        <v>5170</v>
      </c>
      <c r="J18" s="1266">
        <v>6.35</v>
      </c>
      <c r="K18" s="1266">
        <v>1403.5909999999999</v>
      </c>
      <c r="L18" s="1267">
        <v>40</v>
      </c>
      <c r="M18" s="1266">
        <v>15</v>
      </c>
      <c r="N18" s="1263" t="s">
        <v>225</v>
      </c>
      <c r="O18" s="1263" t="s">
        <v>302</v>
      </c>
      <c r="P18" s="1263" t="s">
        <v>303</v>
      </c>
      <c r="Q18" s="1268">
        <v>3671</v>
      </c>
      <c r="R18" s="1268">
        <v>1.0880000000000001</v>
      </c>
      <c r="S18" s="1269">
        <v>43798</v>
      </c>
      <c r="T18" s="1269">
        <v>43799</v>
      </c>
      <c r="U18" s="1270">
        <v>203</v>
      </c>
      <c r="V18" s="1263" t="s">
        <v>5</v>
      </c>
      <c r="W18" s="1270">
        <v>195</v>
      </c>
      <c r="X18" s="1263" t="s">
        <v>5</v>
      </c>
      <c r="Y18" s="1270">
        <v>0</v>
      </c>
      <c r="Z18" s="1263" t="s">
        <v>306</v>
      </c>
      <c r="AA18" s="1270">
        <v>219</v>
      </c>
      <c r="AB18" s="1270">
        <v>219</v>
      </c>
      <c r="AC18" s="1270">
        <v>406</v>
      </c>
      <c r="AD18" s="1270">
        <v>406</v>
      </c>
      <c r="AE18" s="1270">
        <v>310</v>
      </c>
      <c r="AF18" s="1270">
        <v>303</v>
      </c>
      <c r="AG18" s="1270">
        <v>500</v>
      </c>
      <c r="AH18" s="1270">
        <v>500</v>
      </c>
      <c r="AI18" s="1270">
        <v>539</v>
      </c>
      <c r="AJ18" s="1270">
        <v>539</v>
      </c>
      <c r="AK18" s="1270">
        <v>519</v>
      </c>
      <c r="AL18" s="1270">
        <v>519.79999999999995</v>
      </c>
      <c r="AM18" s="1270"/>
      <c r="AN18" s="1263"/>
      <c r="AO18" s="1263"/>
      <c r="AP18" s="1263" t="str">
        <f ca="1"/>
        <v>ARKLOW RULER</v>
      </c>
      <c r="AQ18" s="1263"/>
      <c r="AR18" s="1263"/>
      <c r="AS18" s="1263"/>
      <c r="AT18" s="1263"/>
      <c r="AU18" s="1263"/>
      <c r="AV18" s="1263"/>
      <c r="AW18" s="1263"/>
      <c r="AX18" s="1263"/>
      <c r="AY18" s="1263"/>
      <c r="AZ18" s="1263"/>
      <c r="BA18" s="1263"/>
      <c r="BB18" s="1263"/>
      <c r="BC18" s="1263"/>
      <c r="BD18" s="1263"/>
      <c r="BE18" s="1263"/>
      <c r="BF18" s="1263"/>
      <c r="BG18" s="1263"/>
      <c r="BH18" s="1263"/>
      <c r="BI18" s="1263"/>
      <c r="BJ18" s="1263"/>
      <c r="BK18" s="1263"/>
      <c r="BL18" s="1263"/>
      <c r="BM18" s="1263"/>
      <c r="BN18" s="1263"/>
      <c r="BO18" s="1263"/>
      <c r="BP18" s="1263"/>
      <c r="BQ18" s="1263"/>
      <c r="BR18" s="1263"/>
      <c r="BS18" s="1263"/>
      <c r="BT18" s="1263"/>
      <c r="BU18" s="1263"/>
      <c r="BV18" s="1263"/>
      <c r="BW18" s="1263"/>
      <c r="BX18" s="1263"/>
      <c r="BY18" s="1263"/>
      <c r="BZ18" s="1263"/>
      <c r="CA18" s="1263"/>
      <c r="CB18" s="1263"/>
      <c r="CC18" s="1263"/>
      <c r="CD18" s="1263"/>
      <c r="CE18" s="1263"/>
      <c r="CF18" s="1263"/>
      <c r="CG18" s="1263"/>
      <c r="CH18" s="1263"/>
      <c r="CI18" s="1263"/>
      <c r="CJ18" s="1263"/>
      <c r="CK18" s="1263"/>
      <c r="CL18" s="1263"/>
    </row>
    <row r="19" spans="1:90">
      <c r="A19" s="1264">
        <f t="shared" si="0"/>
        <v>18</v>
      </c>
      <c r="B19" s="1271" t="s">
        <v>347</v>
      </c>
      <c r="C19" s="1263" t="s">
        <v>300</v>
      </c>
      <c r="D19" s="1263" t="s">
        <v>301</v>
      </c>
      <c r="E19" s="1266">
        <v>84.98</v>
      </c>
      <c r="F19" s="1266">
        <v>86.93</v>
      </c>
      <c r="G19" s="1266">
        <v>2999</v>
      </c>
      <c r="H19" s="1266">
        <v>1731</v>
      </c>
      <c r="I19" s="1266">
        <v>5168.41</v>
      </c>
      <c r="J19" s="1266">
        <v>6.35</v>
      </c>
      <c r="K19" s="1266">
        <v>1377.06</v>
      </c>
      <c r="L19" s="1267">
        <v>25</v>
      </c>
      <c r="M19" s="1266">
        <v>15</v>
      </c>
      <c r="N19" s="1263" t="s">
        <v>225</v>
      </c>
      <c r="O19" s="1263" t="s">
        <v>302</v>
      </c>
      <c r="P19" s="1263" t="s">
        <v>303</v>
      </c>
      <c r="Q19" s="1268">
        <v>4840</v>
      </c>
      <c r="R19" s="1268">
        <v>0.83</v>
      </c>
      <c r="S19" s="1269">
        <v>44473</v>
      </c>
      <c r="T19" s="1269">
        <v>44474</v>
      </c>
      <c r="U19" s="1270">
        <v>203</v>
      </c>
      <c r="V19" s="1263" t="s">
        <v>5</v>
      </c>
      <c r="W19" s="1270">
        <v>195</v>
      </c>
      <c r="X19" s="1263" t="s">
        <v>5</v>
      </c>
      <c r="Y19" s="1270">
        <v>0</v>
      </c>
      <c r="Z19" s="1263" t="s">
        <v>306</v>
      </c>
      <c r="AA19" s="1270">
        <v>300</v>
      </c>
      <c r="AB19" s="1270">
        <v>300</v>
      </c>
      <c r="AC19" s="1270">
        <v>406</v>
      </c>
      <c r="AD19" s="1270">
        <v>406</v>
      </c>
      <c r="AE19" s="1270">
        <v>342.2</v>
      </c>
      <c r="AF19" s="1270">
        <v>356.2</v>
      </c>
      <c r="AG19" s="1270">
        <v>608</v>
      </c>
      <c r="AH19" s="1270">
        <v>608</v>
      </c>
      <c r="AI19" s="1270">
        <v>637</v>
      </c>
      <c r="AJ19" s="1270">
        <v>637</v>
      </c>
      <c r="AK19" s="1270">
        <v>617.20000000000005</v>
      </c>
      <c r="AL19" s="1270">
        <v>637.20000000000005</v>
      </c>
      <c r="AM19" s="1270"/>
      <c r="AN19" s="1263"/>
      <c r="AO19" s="1263"/>
      <c r="AP19" s="1263" t="str">
        <f ca="1"/>
        <v>ARKLOW VALLEY</v>
      </c>
      <c r="AQ19" s="1263"/>
      <c r="AR19" s="1263"/>
      <c r="AS19" s="1263"/>
      <c r="AT19" s="1263"/>
      <c r="AU19" s="1263"/>
      <c r="AV19" s="1263"/>
      <c r="AW19" s="1263"/>
      <c r="AX19" s="1263"/>
      <c r="AY19" s="1263"/>
      <c r="AZ19" s="1263"/>
      <c r="BA19" s="1263"/>
      <c r="BB19" s="1263"/>
      <c r="BC19" s="1263"/>
      <c r="BD19" s="1263"/>
      <c r="BE19" s="1263"/>
      <c r="BF19" s="1263"/>
      <c r="BG19" s="1263"/>
      <c r="BH19" s="1263"/>
      <c r="BI19" s="1263"/>
      <c r="BJ19" s="1263"/>
      <c r="BK19" s="1263"/>
      <c r="BL19" s="1263"/>
      <c r="BM19" s="1263"/>
      <c r="BN19" s="1263"/>
      <c r="BO19" s="1263"/>
      <c r="BP19" s="1263"/>
      <c r="BQ19" s="1263"/>
      <c r="BR19" s="1263"/>
      <c r="BS19" s="1263"/>
      <c r="BT19" s="1263"/>
      <c r="BU19" s="1263"/>
      <c r="BV19" s="1263"/>
      <c r="BW19" s="1263"/>
      <c r="BX19" s="1263"/>
      <c r="BY19" s="1263"/>
      <c r="BZ19" s="1263"/>
      <c r="CA19" s="1263"/>
      <c r="CB19" s="1263"/>
      <c r="CC19" s="1263"/>
      <c r="CD19" s="1263"/>
      <c r="CE19" s="1263"/>
      <c r="CF19" s="1263"/>
      <c r="CG19" s="1263"/>
      <c r="CH19" s="1263"/>
      <c r="CI19" s="1263"/>
      <c r="CJ19" s="1263"/>
      <c r="CK19" s="1263"/>
      <c r="CL19" s="1263"/>
    </row>
    <row r="20" spans="1:90">
      <c r="A20" s="1264">
        <f t="shared" si="0"/>
        <v>19</v>
      </c>
      <c r="B20" s="1271" t="s">
        <v>348</v>
      </c>
      <c r="C20" s="1263" t="s">
        <v>312</v>
      </c>
      <c r="D20" s="1263" t="s">
        <v>313</v>
      </c>
      <c r="E20" s="1266">
        <v>84.98</v>
      </c>
      <c r="F20" s="1266">
        <v>89.99</v>
      </c>
      <c r="G20" s="1266">
        <v>2999</v>
      </c>
      <c r="H20" s="1266">
        <v>1639</v>
      </c>
      <c r="I20" s="1266">
        <v>4938.5</v>
      </c>
      <c r="J20" s="1266">
        <v>6.1</v>
      </c>
      <c r="K20" s="1266">
        <v>1453.5</v>
      </c>
      <c r="L20" s="1267">
        <v>55</v>
      </c>
      <c r="M20" s="1266">
        <v>14.4</v>
      </c>
      <c r="N20" s="1263" t="s">
        <v>225</v>
      </c>
      <c r="O20" s="1263" t="s">
        <v>302</v>
      </c>
      <c r="P20" s="1263" t="s">
        <v>303</v>
      </c>
      <c r="Q20" s="1268">
        <v>4698</v>
      </c>
      <c r="R20" s="1268">
        <v>0.85</v>
      </c>
      <c r="S20" s="1269">
        <v>44394</v>
      </c>
      <c r="T20" s="1269">
        <v>44395</v>
      </c>
      <c r="U20" s="1270">
        <v>18</v>
      </c>
      <c r="V20" s="1263" t="s">
        <v>5</v>
      </c>
      <c r="W20" s="1270">
        <v>540</v>
      </c>
      <c r="X20" s="1263" t="s">
        <v>226</v>
      </c>
      <c r="Y20" s="1270">
        <v>0</v>
      </c>
      <c r="Z20" s="1263" t="s">
        <v>306</v>
      </c>
      <c r="AA20" s="1270">
        <v>295</v>
      </c>
      <c r="AB20" s="1270">
        <v>295</v>
      </c>
      <c r="AC20" s="1270">
        <v>347</v>
      </c>
      <c r="AD20" s="1270">
        <v>347</v>
      </c>
      <c r="AE20" s="1270">
        <v>322.2</v>
      </c>
      <c r="AF20" s="1270">
        <v>317.2</v>
      </c>
      <c r="AG20" s="1270">
        <v>598</v>
      </c>
      <c r="AH20" s="1270">
        <v>598</v>
      </c>
      <c r="AI20" s="1270">
        <v>607</v>
      </c>
      <c r="AJ20" s="1270">
        <v>607</v>
      </c>
      <c r="AK20" s="1270">
        <v>600.20000000000005</v>
      </c>
      <c r="AL20" s="1270">
        <v>608.20000000000005</v>
      </c>
      <c r="AM20" s="1270"/>
      <c r="AN20" s="1263"/>
      <c r="AO20" s="1263"/>
      <c r="AP20" s="1263" t="str">
        <f ca="1"/>
        <v>ARKLOW VANGURD</v>
      </c>
      <c r="AQ20" s="1263"/>
      <c r="AR20" s="1263"/>
      <c r="AS20" s="1263"/>
      <c r="AT20" s="1263"/>
      <c r="AU20" s="1263"/>
      <c r="AV20" s="1263"/>
      <c r="AW20" s="1263"/>
      <c r="AX20" s="1263"/>
      <c r="AY20" s="1263"/>
      <c r="AZ20" s="1263"/>
      <c r="BA20" s="1263"/>
      <c r="BB20" s="1263"/>
      <c r="BC20" s="1263"/>
      <c r="BD20" s="1263"/>
      <c r="BE20" s="1263"/>
      <c r="BF20" s="1263"/>
      <c r="BG20" s="1263"/>
      <c r="BH20" s="1263"/>
      <c r="BI20" s="1263"/>
      <c r="BJ20" s="1263"/>
      <c r="BK20" s="1263"/>
      <c r="BL20" s="1263"/>
      <c r="BM20" s="1263"/>
      <c r="BN20" s="1263"/>
      <c r="BO20" s="1263"/>
      <c r="BP20" s="1263"/>
      <c r="BQ20" s="1263"/>
      <c r="BR20" s="1263"/>
      <c r="BS20" s="1263"/>
      <c r="BT20" s="1263"/>
      <c r="BU20" s="1263"/>
      <c r="BV20" s="1263"/>
      <c r="BW20" s="1263"/>
      <c r="BX20" s="1263"/>
      <c r="BY20" s="1263"/>
      <c r="BZ20" s="1263"/>
      <c r="CA20" s="1263"/>
      <c r="CB20" s="1263"/>
      <c r="CC20" s="1263"/>
      <c r="CD20" s="1263"/>
      <c r="CE20" s="1263"/>
      <c r="CF20" s="1263"/>
      <c r="CG20" s="1263"/>
      <c r="CH20" s="1263"/>
      <c r="CI20" s="1263"/>
      <c r="CJ20" s="1263"/>
      <c r="CK20" s="1263"/>
      <c r="CL20" s="1263"/>
    </row>
    <row r="21" spans="1:90">
      <c r="A21" s="1264">
        <f t="shared" si="0"/>
        <v>20</v>
      </c>
      <c r="B21" s="1271" t="s">
        <v>349</v>
      </c>
      <c r="C21" s="1263" t="s">
        <v>312</v>
      </c>
      <c r="D21" s="1263" t="s">
        <v>313</v>
      </c>
      <c r="E21" s="1266">
        <v>84.98</v>
      </c>
      <c r="F21" s="1266">
        <v>89.99</v>
      </c>
      <c r="G21" s="1266">
        <v>2999</v>
      </c>
      <c r="H21" s="1266">
        <v>1639</v>
      </c>
      <c r="I21" s="1266">
        <v>4960</v>
      </c>
      <c r="J21" s="1266">
        <v>6.1</v>
      </c>
      <c r="K21" s="1266">
        <v>1457.82</v>
      </c>
      <c r="L21" s="1267">
        <v>35</v>
      </c>
      <c r="M21" s="1266">
        <v>14</v>
      </c>
      <c r="N21" s="1263" t="s">
        <v>225</v>
      </c>
      <c r="O21" s="1263" t="s">
        <v>302</v>
      </c>
      <c r="P21" s="1263" t="s">
        <v>303</v>
      </c>
      <c r="Q21" s="1268">
        <v>4587</v>
      </c>
      <c r="R21" s="1268">
        <v>0.86</v>
      </c>
      <c r="S21" s="1269">
        <v>44580</v>
      </c>
      <c r="T21" s="1269">
        <v>44581</v>
      </c>
      <c r="U21" s="1270">
        <v>20</v>
      </c>
      <c r="V21" s="1263" t="s">
        <v>5</v>
      </c>
      <c r="W21" s="1270">
        <v>190</v>
      </c>
      <c r="X21" s="1263" t="s">
        <v>5</v>
      </c>
      <c r="Y21" s="1270">
        <v>0</v>
      </c>
      <c r="Z21" s="1263" t="s">
        <v>306</v>
      </c>
      <c r="AA21" s="1270">
        <v>300</v>
      </c>
      <c r="AB21" s="1270">
        <v>300</v>
      </c>
      <c r="AC21" s="1270">
        <v>407</v>
      </c>
      <c r="AD21" s="1270">
        <v>407</v>
      </c>
      <c r="AE21" s="1270">
        <v>354</v>
      </c>
      <c r="AF21" s="1270">
        <v>351</v>
      </c>
      <c r="AG21" s="1270">
        <v>554</v>
      </c>
      <c r="AH21" s="1270">
        <v>554</v>
      </c>
      <c r="AI21" s="1270">
        <v>636</v>
      </c>
      <c r="AJ21" s="1270">
        <v>636</v>
      </c>
      <c r="AK21" s="1270">
        <v>598</v>
      </c>
      <c r="AL21" s="1270">
        <v>600</v>
      </c>
      <c r="AM21" s="1270"/>
      <c r="AN21" s="1263"/>
      <c r="AO21" s="1263"/>
      <c r="AP21" s="1263" t="str">
        <f ca="1"/>
        <v>ARKLOW REBEL</v>
      </c>
      <c r="AQ21" s="1263"/>
      <c r="AR21" s="1263"/>
      <c r="AS21" s="1263"/>
      <c r="AT21" s="1263"/>
      <c r="AU21" s="1263"/>
      <c r="AV21" s="1263"/>
      <c r="AW21" s="1263"/>
      <c r="AX21" s="1263"/>
      <c r="AY21" s="1263"/>
      <c r="AZ21" s="1263"/>
      <c r="BA21" s="1263"/>
      <c r="BB21" s="1263"/>
      <c r="BC21" s="1263"/>
      <c r="BD21" s="1263"/>
      <c r="BE21" s="1263"/>
      <c r="BF21" s="1263"/>
      <c r="BG21" s="1263"/>
      <c r="BH21" s="1263"/>
      <c r="BI21" s="1263"/>
      <c r="BJ21" s="1263"/>
      <c r="BK21" s="1263"/>
      <c r="BL21" s="1263"/>
      <c r="BM21" s="1263"/>
      <c r="BN21" s="1263"/>
      <c r="BO21" s="1263"/>
      <c r="BP21" s="1263"/>
      <c r="BQ21" s="1263"/>
      <c r="BR21" s="1263"/>
      <c r="BS21" s="1263"/>
      <c r="BT21" s="1263"/>
      <c r="BU21" s="1263"/>
      <c r="BV21" s="1263"/>
      <c r="BW21" s="1263"/>
      <c r="BX21" s="1263"/>
      <c r="BY21" s="1263"/>
      <c r="BZ21" s="1263"/>
      <c r="CA21" s="1263"/>
      <c r="CB21" s="1263"/>
      <c r="CC21" s="1263"/>
      <c r="CD21" s="1263"/>
      <c r="CE21" s="1263"/>
      <c r="CF21" s="1263"/>
      <c r="CG21" s="1263"/>
      <c r="CH21" s="1263"/>
      <c r="CI21" s="1263"/>
      <c r="CJ21" s="1263"/>
      <c r="CK21" s="1263"/>
      <c r="CL21" s="1263"/>
    </row>
    <row r="22" spans="1:90">
      <c r="A22" s="1264">
        <f t="shared" si="0"/>
        <v>21</v>
      </c>
      <c r="B22" s="1271" t="s">
        <v>350</v>
      </c>
      <c r="C22" s="1263" t="s">
        <v>312</v>
      </c>
      <c r="D22" s="1263" t="s">
        <v>313</v>
      </c>
      <c r="E22" s="1266">
        <v>84.99</v>
      </c>
      <c r="F22" s="1266">
        <v>89.99</v>
      </c>
      <c r="G22" s="1266">
        <v>2999</v>
      </c>
      <c r="H22" s="1266">
        <v>1639</v>
      </c>
      <c r="I22" s="1266">
        <v>4791.8999999999996</v>
      </c>
      <c r="J22" s="1266">
        <v>5.9729999999999999</v>
      </c>
      <c r="K22" s="1266">
        <v>1458</v>
      </c>
      <c r="L22" s="1267">
        <v>50</v>
      </c>
      <c r="M22" s="1266">
        <v>14</v>
      </c>
      <c r="N22" s="1263" t="s">
        <v>225</v>
      </c>
      <c r="O22" s="1263" t="s">
        <v>302</v>
      </c>
      <c r="P22" s="1263" t="s">
        <v>303</v>
      </c>
      <c r="Q22" s="1268">
        <v>4610</v>
      </c>
      <c r="R22" s="1268">
        <v>0.86</v>
      </c>
      <c r="S22" s="1269">
        <v>44236</v>
      </c>
      <c r="T22" s="1269">
        <v>44237</v>
      </c>
      <c r="U22" s="1270">
        <v>0</v>
      </c>
      <c r="V22" s="1263" t="s">
        <v>306</v>
      </c>
      <c r="W22" s="1270">
        <v>540</v>
      </c>
      <c r="X22" s="1263" t="s">
        <v>226</v>
      </c>
      <c r="Y22" s="1270">
        <v>0</v>
      </c>
      <c r="Z22" s="1263" t="s">
        <v>306</v>
      </c>
      <c r="AA22" s="1270">
        <v>255</v>
      </c>
      <c r="AB22" s="1270">
        <v>255</v>
      </c>
      <c r="AC22" s="1270">
        <v>384</v>
      </c>
      <c r="AD22" s="1270">
        <v>372</v>
      </c>
      <c r="AE22" s="1270">
        <v>306.2</v>
      </c>
      <c r="AF22" s="1270">
        <v>334.4</v>
      </c>
      <c r="AG22" s="1270">
        <v>580</v>
      </c>
      <c r="AH22" s="1270">
        <v>580</v>
      </c>
      <c r="AI22" s="1270">
        <v>616</v>
      </c>
      <c r="AJ22" s="1270">
        <v>616</v>
      </c>
      <c r="AK22" s="1270">
        <v>594.20000000000005</v>
      </c>
      <c r="AL22" s="1270">
        <v>611.20000000000005</v>
      </c>
      <c r="AM22" s="1270"/>
      <c r="AN22" s="1263"/>
      <c r="AO22" s="1263"/>
      <c r="AP22" s="1263" t="str">
        <f ca="1"/>
        <v>ARKLOW RAVEN</v>
      </c>
      <c r="AQ22" s="1263"/>
      <c r="AR22" s="1263"/>
      <c r="AS22" s="1263"/>
      <c r="AT22" s="1263"/>
      <c r="AU22" s="1263"/>
      <c r="AV22" s="1263"/>
      <c r="AW22" s="1263"/>
      <c r="AX22" s="1263"/>
      <c r="AY22" s="1263"/>
      <c r="AZ22" s="1263"/>
      <c r="BA22" s="1263"/>
      <c r="BB22" s="1263"/>
      <c r="BC22" s="1263"/>
      <c r="BD22" s="1263"/>
      <c r="BE22" s="1263"/>
      <c r="BF22" s="1263"/>
      <c r="BG22" s="1263"/>
      <c r="BH22" s="1263"/>
      <c r="BI22" s="1263"/>
      <c r="BJ22" s="1263"/>
      <c r="BK22" s="1263"/>
      <c r="BL22" s="1263"/>
      <c r="BM22" s="1263"/>
      <c r="BN22" s="1263"/>
      <c r="BO22" s="1263"/>
      <c r="BP22" s="1263"/>
      <c r="BQ22" s="1263"/>
      <c r="BR22" s="1263"/>
      <c r="BS22" s="1263"/>
      <c r="BT22" s="1263"/>
      <c r="BU22" s="1263"/>
      <c r="BV22" s="1263"/>
      <c r="BW22" s="1263"/>
      <c r="BX22" s="1263"/>
      <c r="BY22" s="1263"/>
      <c r="BZ22" s="1263"/>
      <c r="CA22" s="1263"/>
      <c r="CB22" s="1263"/>
      <c r="CC22" s="1263"/>
      <c r="CD22" s="1263"/>
      <c r="CE22" s="1263"/>
      <c r="CF22" s="1263"/>
      <c r="CG22" s="1263"/>
      <c r="CH22" s="1263"/>
      <c r="CI22" s="1263"/>
      <c r="CJ22" s="1263"/>
      <c r="CK22" s="1263"/>
      <c r="CL22" s="1263"/>
    </row>
    <row r="23" spans="1:90">
      <c r="A23" s="1264">
        <f t="shared" si="0"/>
        <v>22</v>
      </c>
      <c r="B23" s="1271" t="s">
        <v>351</v>
      </c>
      <c r="C23" s="1263" t="s">
        <v>312</v>
      </c>
      <c r="D23" s="1263" t="s">
        <v>313</v>
      </c>
      <c r="E23" s="1266">
        <v>84.95</v>
      </c>
      <c r="F23" s="1266">
        <v>89.93</v>
      </c>
      <c r="G23" s="1266">
        <v>2998</v>
      </c>
      <c r="H23" s="1266">
        <v>1673</v>
      </c>
      <c r="I23" s="1266">
        <v>4966</v>
      </c>
      <c r="J23" s="1266">
        <v>6.2880000000000003</v>
      </c>
      <c r="K23" s="1266">
        <v>1499</v>
      </c>
      <c r="L23" s="1267">
        <v>85</v>
      </c>
      <c r="M23" s="1266">
        <v>14.4</v>
      </c>
      <c r="N23" s="1263" t="s">
        <v>225</v>
      </c>
      <c r="O23" s="1263" t="s">
        <v>302</v>
      </c>
      <c r="P23" s="1263" t="s">
        <v>303</v>
      </c>
      <c r="Q23" s="1268">
        <v>4686</v>
      </c>
      <c r="R23" s="1268">
        <v>0.85</v>
      </c>
      <c r="S23" s="1269">
        <v>44432</v>
      </c>
      <c r="T23" s="1269">
        <v>44433</v>
      </c>
      <c r="U23" s="1270">
        <v>227.5</v>
      </c>
      <c r="V23" s="1263" t="s">
        <v>5</v>
      </c>
      <c r="W23" s="1270">
        <v>140</v>
      </c>
      <c r="X23" s="1263" t="s">
        <v>5</v>
      </c>
      <c r="Y23" s="1270">
        <v>0</v>
      </c>
      <c r="Z23" s="1263" t="s">
        <v>306</v>
      </c>
      <c r="AA23" s="1270">
        <v>313</v>
      </c>
      <c r="AB23" s="1270">
        <v>313</v>
      </c>
      <c r="AC23" s="1270">
        <v>401</v>
      </c>
      <c r="AD23" s="1270">
        <v>401</v>
      </c>
      <c r="AE23" s="1270">
        <v>350</v>
      </c>
      <c r="AF23" s="1270">
        <v>359</v>
      </c>
      <c r="AG23" s="1270">
        <v>601</v>
      </c>
      <c r="AH23" s="1270">
        <v>601</v>
      </c>
      <c r="AI23" s="1270">
        <v>650</v>
      </c>
      <c r="AJ23" s="1270">
        <v>650</v>
      </c>
      <c r="AK23" s="1270">
        <v>629</v>
      </c>
      <c r="AL23" s="1270">
        <v>629</v>
      </c>
      <c r="AM23" s="1270"/>
      <c r="AN23" s="1263"/>
      <c r="AO23" s="1263"/>
      <c r="AP23" s="1263" t="str">
        <f ca="1"/>
        <v>ARKLOW RAIDER</v>
      </c>
      <c r="AQ23" s="1263"/>
      <c r="AR23" s="1263"/>
      <c r="AS23" s="1263"/>
      <c r="AT23" s="1263"/>
      <c r="AU23" s="1263"/>
      <c r="AV23" s="1263"/>
      <c r="AW23" s="1263"/>
      <c r="AX23" s="1263"/>
      <c r="AY23" s="1263"/>
      <c r="AZ23" s="1263"/>
      <c r="BA23" s="1263"/>
      <c r="BB23" s="1263"/>
      <c r="BC23" s="1263"/>
      <c r="BD23" s="1263"/>
      <c r="BE23" s="1263"/>
      <c r="BF23" s="1263"/>
      <c r="BG23" s="1263"/>
      <c r="BH23" s="1263"/>
      <c r="BI23" s="1263"/>
      <c r="BJ23" s="1263"/>
      <c r="BK23" s="1263"/>
      <c r="BL23" s="1263"/>
      <c r="BM23" s="1263"/>
      <c r="BN23" s="1263"/>
      <c r="BO23" s="1263"/>
      <c r="BP23" s="1263"/>
      <c r="BQ23" s="1263"/>
      <c r="BR23" s="1263"/>
      <c r="BS23" s="1263"/>
      <c r="BT23" s="1263"/>
      <c r="BU23" s="1263"/>
      <c r="BV23" s="1263"/>
      <c r="BW23" s="1263"/>
      <c r="BX23" s="1263"/>
      <c r="BY23" s="1263"/>
      <c r="BZ23" s="1263"/>
      <c r="CA23" s="1263"/>
      <c r="CB23" s="1263"/>
      <c r="CC23" s="1263"/>
      <c r="CD23" s="1263"/>
      <c r="CE23" s="1263"/>
      <c r="CF23" s="1263"/>
      <c r="CG23" s="1263"/>
      <c r="CH23" s="1263"/>
      <c r="CI23" s="1263"/>
      <c r="CJ23" s="1263"/>
      <c r="CK23" s="1263"/>
      <c r="CL23" s="1263"/>
    </row>
    <row r="24" spans="1:90">
      <c r="A24" s="1264">
        <f t="shared" si="0"/>
        <v>23</v>
      </c>
      <c r="B24" s="1271" t="s">
        <v>352</v>
      </c>
      <c r="C24" s="1263" t="s">
        <v>312</v>
      </c>
      <c r="D24" s="1263" t="s">
        <v>313</v>
      </c>
      <c r="E24" s="1266">
        <v>84.95</v>
      </c>
      <c r="F24" s="1266">
        <v>89.93</v>
      </c>
      <c r="G24" s="1266">
        <v>2998</v>
      </c>
      <c r="H24" s="1266">
        <v>1673</v>
      </c>
      <c r="I24" s="1266">
        <v>4966</v>
      </c>
      <c r="J24" s="1266">
        <v>6.2880000000000003</v>
      </c>
      <c r="K24" s="1266">
        <v>1499</v>
      </c>
      <c r="L24" s="1267">
        <v>70</v>
      </c>
      <c r="M24" s="1266">
        <v>14.4</v>
      </c>
      <c r="N24" s="1263" t="s">
        <v>225</v>
      </c>
      <c r="O24" s="1263" t="s">
        <v>302</v>
      </c>
      <c r="P24" s="1263" t="s">
        <v>303</v>
      </c>
      <c r="Q24" s="1268">
        <v>4707</v>
      </c>
      <c r="R24" s="1268">
        <v>1.0880000000000001</v>
      </c>
      <c r="S24" s="1269" t="s">
        <v>353</v>
      </c>
      <c r="T24" s="1269">
        <v>43539</v>
      </c>
      <c r="U24" s="1270">
        <v>227.5</v>
      </c>
      <c r="V24" s="1263" t="s">
        <v>5</v>
      </c>
      <c r="W24" s="1270">
        <v>140</v>
      </c>
      <c r="X24" s="1263" t="s">
        <v>5</v>
      </c>
      <c r="Y24" s="1270">
        <v>0</v>
      </c>
      <c r="Z24" s="1263" t="s">
        <v>306</v>
      </c>
      <c r="AA24" s="1270">
        <v>280</v>
      </c>
      <c r="AB24" s="1270">
        <v>280</v>
      </c>
      <c r="AC24" s="1270">
        <v>380</v>
      </c>
      <c r="AD24" s="1270">
        <v>380</v>
      </c>
      <c r="AE24" s="1270">
        <v>329</v>
      </c>
      <c r="AF24" s="1270">
        <v>330</v>
      </c>
      <c r="AG24" s="1270">
        <v>598</v>
      </c>
      <c r="AH24" s="1270">
        <v>598</v>
      </c>
      <c r="AI24" s="1270">
        <v>640</v>
      </c>
      <c r="AJ24" s="1270">
        <v>640</v>
      </c>
      <c r="AK24" s="1270">
        <v>621</v>
      </c>
      <c r="AL24" s="1270">
        <v>622</v>
      </c>
      <c r="AM24" s="1270"/>
      <c r="AN24" s="1263"/>
      <c r="AO24" s="1263"/>
      <c r="AP24" s="1263" t="str">
        <f ca="1"/>
        <v>ARKLOW FREEDOM</v>
      </c>
      <c r="AQ24" s="1263"/>
      <c r="AR24" s="1263"/>
      <c r="AS24" s="1263"/>
      <c r="AT24" s="1263"/>
      <c r="AU24" s="1263"/>
      <c r="AV24" s="1263"/>
      <c r="AW24" s="1263"/>
      <c r="AX24" s="1263"/>
      <c r="AY24" s="1263"/>
      <c r="AZ24" s="1263"/>
      <c r="BA24" s="1263"/>
      <c r="BB24" s="1263"/>
      <c r="BC24" s="1263"/>
      <c r="BD24" s="1263"/>
      <c r="BE24" s="1263"/>
      <c r="BF24" s="1263"/>
      <c r="BG24" s="1263"/>
      <c r="BH24" s="1263"/>
      <c r="BI24" s="1263"/>
      <c r="BJ24" s="1263"/>
      <c r="BK24" s="1263"/>
      <c r="BL24" s="1263"/>
      <c r="BM24" s="1263"/>
      <c r="BN24" s="1263"/>
      <c r="BO24" s="1263"/>
      <c r="BP24" s="1263"/>
      <c r="BQ24" s="1263"/>
      <c r="BR24" s="1263"/>
      <c r="BS24" s="1263"/>
      <c r="BT24" s="1263"/>
      <c r="BU24" s="1263"/>
      <c r="BV24" s="1263"/>
      <c r="BW24" s="1263"/>
      <c r="BX24" s="1263"/>
      <c r="BY24" s="1263"/>
      <c r="BZ24" s="1263"/>
      <c r="CA24" s="1263"/>
      <c r="CB24" s="1263"/>
      <c r="CC24" s="1263"/>
      <c r="CD24" s="1263"/>
      <c r="CE24" s="1263"/>
      <c r="CF24" s="1263"/>
      <c r="CG24" s="1263"/>
      <c r="CH24" s="1263"/>
      <c r="CI24" s="1263"/>
      <c r="CJ24" s="1263"/>
      <c r="CK24" s="1263"/>
      <c r="CL24" s="1263"/>
    </row>
    <row r="25" spans="1:90">
      <c r="A25" s="1264">
        <f t="shared" si="0"/>
        <v>24</v>
      </c>
      <c r="B25" s="1271" t="s">
        <v>354</v>
      </c>
      <c r="C25" s="1263" t="s">
        <v>300</v>
      </c>
      <c r="D25" s="1263" t="s">
        <v>301</v>
      </c>
      <c r="E25" s="1266">
        <v>84.98</v>
      </c>
      <c r="F25" s="1266">
        <v>86.93</v>
      </c>
      <c r="G25" s="1266">
        <v>2999</v>
      </c>
      <c r="H25" s="1266">
        <v>1731</v>
      </c>
      <c r="I25" s="1266">
        <v>5136</v>
      </c>
      <c r="J25" s="1266">
        <v>6.3630000000000004</v>
      </c>
      <c r="K25" s="1266">
        <v>1406.01</v>
      </c>
      <c r="L25" s="1267">
        <v>40</v>
      </c>
      <c r="M25" s="1266">
        <v>15</v>
      </c>
      <c r="N25" s="1263" t="s">
        <v>225</v>
      </c>
      <c r="O25" s="1263" t="s">
        <v>302</v>
      </c>
      <c r="P25" s="1263" t="s">
        <v>303</v>
      </c>
      <c r="Q25" s="1268">
        <v>4840</v>
      </c>
      <c r="R25" s="1268">
        <v>0.85</v>
      </c>
      <c r="S25" s="1269">
        <v>44676</v>
      </c>
      <c r="T25" s="1269">
        <v>44676</v>
      </c>
      <c r="U25" s="1270">
        <v>195</v>
      </c>
      <c r="V25" s="1263" t="s">
        <v>5</v>
      </c>
      <c r="W25" s="1270">
        <v>203</v>
      </c>
      <c r="X25" s="1263" t="s">
        <v>5</v>
      </c>
      <c r="Y25" s="1270">
        <v>0</v>
      </c>
      <c r="Z25" s="1263" t="s">
        <v>306</v>
      </c>
      <c r="AA25" s="1270">
        <v>234</v>
      </c>
      <c r="AB25" s="1270">
        <v>234</v>
      </c>
      <c r="AC25" s="1270">
        <v>405</v>
      </c>
      <c r="AD25" s="1270">
        <v>405</v>
      </c>
      <c r="AE25" s="1270">
        <v>315.5</v>
      </c>
      <c r="AF25" s="1270">
        <v>317</v>
      </c>
      <c r="AG25" s="1270">
        <v>620</v>
      </c>
      <c r="AH25" s="1270">
        <v>620</v>
      </c>
      <c r="AI25" s="1270">
        <v>647</v>
      </c>
      <c r="AJ25" s="1270">
        <v>647</v>
      </c>
      <c r="AK25" s="1270">
        <v>638.20000000000005</v>
      </c>
      <c r="AL25" s="1270">
        <v>634.20000000000005</v>
      </c>
      <c r="AM25" s="1270"/>
      <c r="AN25" s="1263"/>
      <c r="AO25" s="1263"/>
      <c r="AP25" s="1263" t="str">
        <f ca="1"/>
        <v>ARKLOW FLAIR</v>
      </c>
      <c r="AQ25" s="1263"/>
      <c r="AR25" s="1263"/>
      <c r="AS25" s="1263"/>
      <c r="AT25" s="1263"/>
      <c r="AU25" s="1263"/>
      <c r="AV25" s="1263"/>
      <c r="AW25" s="1263"/>
      <c r="AX25" s="1263"/>
      <c r="AY25" s="1263"/>
      <c r="AZ25" s="1263"/>
      <c r="BA25" s="1263"/>
      <c r="BB25" s="1263"/>
      <c r="BC25" s="1263"/>
      <c r="BD25" s="1263"/>
      <c r="BE25" s="1263"/>
      <c r="BF25" s="1263"/>
      <c r="BG25" s="1263"/>
      <c r="BH25" s="1263"/>
      <c r="BI25" s="1263"/>
      <c r="BJ25" s="1263"/>
      <c r="BK25" s="1263"/>
      <c r="BL25" s="1263"/>
      <c r="BM25" s="1263"/>
      <c r="BN25" s="1263"/>
      <c r="BO25" s="1263"/>
      <c r="BP25" s="1263"/>
      <c r="BQ25" s="1263"/>
      <c r="BR25" s="1263"/>
      <c r="BS25" s="1263"/>
      <c r="BT25" s="1263"/>
      <c r="BU25" s="1263"/>
      <c r="BV25" s="1263"/>
      <c r="BW25" s="1263"/>
      <c r="BX25" s="1263"/>
      <c r="BY25" s="1263"/>
      <c r="BZ25" s="1263"/>
      <c r="CA25" s="1263"/>
      <c r="CB25" s="1263"/>
      <c r="CC25" s="1263"/>
      <c r="CD25" s="1263"/>
      <c r="CE25" s="1263"/>
      <c r="CF25" s="1263"/>
      <c r="CG25" s="1263"/>
      <c r="CH25" s="1263"/>
      <c r="CI25" s="1263"/>
      <c r="CJ25" s="1263"/>
      <c r="CK25" s="1263"/>
      <c r="CL25" s="1263"/>
    </row>
    <row r="26" spans="1:90">
      <c r="A26" s="1264">
        <f t="shared" si="0"/>
        <v>25</v>
      </c>
      <c r="B26" s="1271" t="s">
        <v>355</v>
      </c>
      <c r="C26" s="1263" t="s">
        <v>312</v>
      </c>
      <c r="D26" s="1263" t="s">
        <v>313</v>
      </c>
      <c r="E26" s="1266">
        <v>84.98</v>
      </c>
      <c r="F26" s="1266">
        <v>89.93</v>
      </c>
      <c r="G26" s="1266">
        <v>2999</v>
      </c>
      <c r="H26" s="1266">
        <v>1731</v>
      </c>
      <c r="I26" s="1266">
        <v>5149</v>
      </c>
      <c r="J26" s="1266">
        <v>6.35</v>
      </c>
      <c r="K26" s="1266">
        <v>1410.46</v>
      </c>
      <c r="L26" s="1267">
        <v>22</v>
      </c>
      <c r="M26" s="1266">
        <v>14.4</v>
      </c>
      <c r="N26" s="1263" t="s">
        <v>225</v>
      </c>
      <c r="O26" s="1263" t="s">
        <v>302</v>
      </c>
      <c r="P26" s="1263" t="s">
        <v>303</v>
      </c>
      <c r="Q26" s="1268">
        <v>4840</v>
      </c>
      <c r="R26" s="1268">
        <v>1.0820000000000001</v>
      </c>
      <c r="S26" s="1269">
        <v>43932</v>
      </c>
      <c r="T26" s="1269">
        <v>43933</v>
      </c>
      <c r="U26" s="1270">
        <v>203</v>
      </c>
      <c r="V26" s="1263" t="s">
        <v>5</v>
      </c>
      <c r="W26" s="1270">
        <v>195</v>
      </c>
      <c r="X26" s="1263" t="s">
        <v>5</v>
      </c>
      <c r="Y26" s="1270">
        <v>0</v>
      </c>
      <c r="Z26" s="1263" t="s">
        <v>306</v>
      </c>
      <c r="AA26" s="1270">
        <v>312</v>
      </c>
      <c r="AB26" s="1270">
        <v>309</v>
      </c>
      <c r="AC26" s="1270">
        <v>432</v>
      </c>
      <c r="AD26" s="1270">
        <v>429</v>
      </c>
      <c r="AE26" s="1270">
        <v>371</v>
      </c>
      <c r="AF26" s="1270">
        <v>361</v>
      </c>
      <c r="AG26" s="1270">
        <v>602</v>
      </c>
      <c r="AH26" s="1270">
        <v>602</v>
      </c>
      <c r="AI26" s="1270">
        <v>653</v>
      </c>
      <c r="AJ26" s="1270">
        <v>653</v>
      </c>
      <c r="AK26" s="1270">
        <v>627</v>
      </c>
      <c r="AL26" s="1270">
        <v>626</v>
      </c>
      <c r="AM26" s="1270"/>
      <c r="AN26" s="1263"/>
      <c r="AO26" s="1263"/>
      <c r="AP26" s="1263" t="str">
        <f ca="1"/>
        <v>ARKLOW VAILLANT</v>
      </c>
      <c r="AQ26" s="1263"/>
      <c r="AR26" s="1263"/>
      <c r="AS26" s="1263"/>
      <c r="AT26" s="1263"/>
      <c r="AU26" s="1263"/>
      <c r="AV26" s="1263"/>
      <c r="AW26" s="1263"/>
      <c r="AX26" s="1263"/>
      <c r="AY26" s="1263"/>
      <c r="AZ26" s="1263"/>
      <c r="BA26" s="1263"/>
      <c r="BB26" s="1263"/>
      <c r="BC26" s="1263"/>
      <c r="BD26" s="1263"/>
      <c r="BE26" s="1263"/>
      <c r="BF26" s="1263"/>
      <c r="BG26" s="1263"/>
      <c r="BH26" s="1263"/>
      <c r="BI26" s="1263"/>
      <c r="BJ26" s="1263"/>
      <c r="BK26" s="1263"/>
      <c r="BL26" s="1263"/>
      <c r="BM26" s="1263"/>
      <c r="BN26" s="1263"/>
      <c r="BO26" s="1263"/>
      <c r="BP26" s="1263"/>
      <c r="BQ26" s="1263"/>
      <c r="BR26" s="1263"/>
      <c r="BS26" s="1263"/>
      <c r="BT26" s="1263"/>
      <c r="BU26" s="1263"/>
      <c r="BV26" s="1263"/>
      <c r="BW26" s="1263"/>
      <c r="BX26" s="1263"/>
      <c r="BY26" s="1263"/>
      <c r="BZ26" s="1263"/>
      <c r="CA26" s="1263"/>
      <c r="CB26" s="1263"/>
      <c r="CC26" s="1263"/>
      <c r="CD26" s="1263"/>
      <c r="CE26" s="1263"/>
      <c r="CF26" s="1263"/>
      <c r="CG26" s="1263"/>
      <c r="CH26" s="1263"/>
      <c r="CI26" s="1263"/>
      <c r="CJ26" s="1263"/>
      <c r="CK26" s="1263"/>
      <c r="CL26" s="1263"/>
    </row>
    <row r="27" spans="1:90">
      <c r="A27" s="1264">
        <f t="shared" si="0"/>
        <v>26</v>
      </c>
      <c r="B27" s="1271" t="s">
        <v>356</v>
      </c>
      <c r="C27" s="1263" t="s">
        <v>357</v>
      </c>
      <c r="D27" s="1263" t="s">
        <v>358</v>
      </c>
      <c r="E27" s="1266">
        <v>90.25</v>
      </c>
      <c r="F27" s="1266">
        <v>95.16</v>
      </c>
      <c r="G27" s="1266">
        <v>2998</v>
      </c>
      <c r="H27" s="1266">
        <v>1709</v>
      </c>
      <c r="I27" s="1266">
        <v>5011</v>
      </c>
      <c r="J27" s="1266">
        <v>6.19</v>
      </c>
      <c r="K27" s="1266">
        <v>1486.0060000000001</v>
      </c>
      <c r="L27" s="1267">
        <v>115</v>
      </c>
      <c r="M27" s="1266">
        <v>13.17</v>
      </c>
      <c r="N27" s="1263" t="s">
        <v>359</v>
      </c>
      <c r="O27" s="1263" t="s">
        <v>225</v>
      </c>
      <c r="P27" s="1263" t="s">
        <v>360</v>
      </c>
      <c r="Q27" s="1268">
        <v>4800.0959999999995</v>
      </c>
      <c r="R27" s="1268">
        <v>1.29</v>
      </c>
      <c r="S27" s="1269">
        <v>44809</v>
      </c>
      <c r="T27" s="1269">
        <v>44810</v>
      </c>
      <c r="U27" s="1270">
        <v>80</v>
      </c>
      <c r="V27" s="1263" t="s">
        <v>5</v>
      </c>
      <c r="W27" s="1270">
        <v>175</v>
      </c>
      <c r="X27" s="1263" t="s">
        <v>5</v>
      </c>
      <c r="Y27" s="1270">
        <v>112.5</v>
      </c>
      <c r="Z27" s="1263" t="s">
        <v>226</v>
      </c>
      <c r="AA27" s="1270">
        <v>628</v>
      </c>
      <c r="AB27" s="1270">
        <v>628</v>
      </c>
      <c r="AC27" s="1270">
        <v>627</v>
      </c>
      <c r="AD27" s="1270">
        <v>627</v>
      </c>
      <c r="AE27" s="1270">
        <v>620</v>
      </c>
      <c r="AF27" s="1270">
        <v>620</v>
      </c>
      <c r="AG27" s="1270">
        <v>212</v>
      </c>
      <c r="AH27" s="1270">
        <v>212</v>
      </c>
      <c r="AI27" s="1270">
        <v>396</v>
      </c>
      <c r="AJ27" s="1270">
        <v>396</v>
      </c>
      <c r="AK27" s="1270">
        <v>300</v>
      </c>
      <c r="AL27" s="1270">
        <v>288</v>
      </c>
      <c r="AM27" s="1270"/>
      <c r="AN27" s="1263"/>
      <c r="AO27" s="1263"/>
      <c r="AP27" s="1263" t="str">
        <f ca="1"/>
        <v>ARKLOW VENTURE</v>
      </c>
      <c r="AQ27" s="1263"/>
      <c r="AR27" s="1263"/>
      <c r="AS27" s="1263"/>
      <c r="AT27" s="1263"/>
      <c r="AU27" s="1263"/>
      <c r="AV27" s="1263"/>
      <c r="AW27" s="1263"/>
      <c r="AX27" s="1263"/>
      <c r="AY27" s="1263"/>
      <c r="AZ27" s="1263"/>
      <c r="BA27" s="1263"/>
      <c r="BB27" s="1263"/>
      <c r="BC27" s="1263"/>
      <c r="BD27" s="1263"/>
      <c r="BE27" s="1263"/>
      <c r="BF27" s="1263"/>
      <c r="BG27" s="1263"/>
      <c r="BH27" s="1263"/>
      <c r="BI27" s="1263"/>
      <c r="BJ27" s="1263"/>
      <c r="BK27" s="1263"/>
      <c r="BL27" s="1263"/>
      <c r="BM27" s="1263"/>
      <c r="BN27" s="1263"/>
      <c r="BO27" s="1263"/>
      <c r="BP27" s="1263"/>
      <c r="BQ27" s="1263"/>
      <c r="BR27" s="1263"/>
      <c r="BS27" s="1263"/>
      <c r="BT27" s="1263"/>
      <c r="BU27" s="1263"/>
      <c r="BV27" s="1263"/>
      <c r="BW27" s="1263"/>
      <c r="BX27" s="1263"/>
      <c r="BY27" s="1263"/>
      <c r="BZ27" s="1263"/>
      <c r="CA27" s="1263"/>
      <c r="CB27" s="1263"/>
      <c r="CC27" s="1263"/>
      <c r="CD27" s="1263"/>
      <c r="CE27" s="1263"/>
      <c r="CF27" s="1263"/>
      <c r="CG27" s="1263"/>
      <c r="CH27" s="1263"/>
      <c r="CI27" s="1263"/>
      <c r="CJ27" s="1263"/>
      <c r="CK27" s="1263"/>
      <c r="CL27" s="1263"/>
    </row>
    <row r="28" spans="1:90">
      <c r="A28" s="1264">
        <f t="shared" si="0"/>
        <v>27</v>
      </c>
      <c r="B28" s="1271" t="s">
        <v>361</v>
      </c>
      <c r="C28" s="1263" t="s">
        <v>223</v>
      </c>
      <c r="D28" s="1263" t="s">
        <v>362</v>
      </c>
      <c r="E28" s="1266">
        <v>84.99</v>
      </c>
      <c r="F28" s="1266">
        <v>89.77</v>
      </c>
      <c r="G28" s="1266">
        <v>2805</v>
      </c>
      <c r="H28" s="1266">
        <v>1568</v>
      </c>
      <c r="I28" s="1266">
        <v>4231</v>
      </c>
      <c r="J28" s="1266">
        <v>5.6779999999999999</v>
      </c>
      <c r="K28" s="1266">
        <v>1287</v>
      </c>
      <c r="L28" s="1267">
        <v>120</v>
      </c>
      <c r="M28" s="1266">
        <v>13.17</v>
      </c>
      <c r="N28" s="1263" t="s">
        <v>363</v>
      </c>
      <c r="O28" s="1263" t="s">
        <v>225</v>
      </c>
      <c r="P28" s="1263" t="s">
        <v>364</v>
      </c>
      <c r="Q28" s="1268">
        <v>3098.2950000000001</v>
      </c>
      <c r="R28" s="1268">
        <v>1.026</v>
      </c>
      <c r="S28" s="1269">
        <v>44764</v>
      </c>
      <c r="T28" s="1269">
        <v>44767</v>
      </c>
      <c r="U28" s="1270">
        <v>80.400000000000006</v>
      </c>
      <c r="V28" s="1263" t="s">
        <v>5</v>
      </c>
      <c r="W28" s="1270">
        <v>180</v>
      </c>
      <c r="X28" s="1263" t="s">
        <v>5</v>
      </c>
      <c r="Y28" s="1270">
        <v>116</v>
      </c>
      <c r="Z28" s="1263" t="s">
        <v>365</v>
      </c>
      <c r="AA28" s="1270">
        <v>480</v>
      </c>
      <c r="AB28" s="1270">
        <v>480</v>
      </c>
      <c r="AC28" s="1270">
        <v>523</v>
      </c>
      <c r="AD28" s="1270">
        <v>523</v>
      </c>
      <c r="AE28" s="1270">
        <v>505</v>
      </c>
      <c r="AF28" s="1270">
        <v>498</v>
      </c>
      <c r="AG28" s="1270">
        <v>205</v>
      </c>
      <c r="AH28" s="1270">
        <v>205</v>
      </c>
      <c r="AI28" s="1270">
        <v>326</v>
      </c>
      <c r="AJ28" s="1270">
        <v>326</v>
      </c>
      <c r="AK28" s="1270">
        <v>266</v>
      </c>
      <c r="AL28" s="1270">
        <v>266</v>
      </c>
      <c r="AM28" s="1270"/>
      <c r="AN28" s="1263"/>
      <c r="AO28" s="1263"/>
      <c r="AP28" s="1263" t="str">
        <f ca="1"/>
        <v>VALENTINA</v>
      </c>
      <c r="AQ28" s="1263"/>
      <c r="AR28" s="1263"/>
      <c r="AS28" s="1263"/>
      <c r="AT28" s="1263"/>
      <c r="AU28" s="1263"/>
      <c r="AV28" s="1263"/>
      <c r="AW28" s="1263"/>
      <c r="AX28" s="1263"/>
      <c r="AY28" s="1263"/>
      <c r="AZ28" s="1263"/>
      <c r="BA28" s="1263"/>
      <c r="BB28" s="1263"/>
      <c r="BC28" s="1263"/>
      <c r="BD28" s="1263"/>
      <c r="BE28" s="1263"/>
      <c r="BF28" s="1263"/>
      <c r="BG28" s="1263"/>
      <c r="BH28" s="1263"/>
      <c r="BI28" s="1263"/>
      <c r="BJ28" s="1263"/>
      <c r="BK28" s="1263"/>
      <c r="BL28" s="1263"/>
      <c r="BM28" s="1263"/>
      <c r="BN28" s="1263"/>
      <c r="BO28" s="1263"/>
      <c r="BP28" s="1263"/>
      <c r="BQ28" s="1263"/>
      <c r="BR28" s="1263"/>
      <c r="BS28" s="1263"/>
      <c r="BT28" s="1263"/>
      <c r="BU28" s="1263"/>
      <c r="BV28" s="1263"/>
      <c r="BW28" s="1263"/>
      <c r="BX28" s="1263"/>
      <c r="BY28" s="1263"/>
      <c r="BZ28" s="1263"/>
      <c r="CA28" s="1263"/>
      <c r="CB28" s="1263"/>
      <c r="CC28" s="1263"/>
      <c r="CD28" s="1263"/>
      <c r="CE28" s="1263"/>
      <c r="CF28" s="1263"/>
      <c r="CG28" s="1263"/>
      <c r="CH28" s="1263"/>
      <c r="CI28" s="1263"/>
      <c r="CJ28" s="1263"/>
      <c r="CK28" s="1263"/>
      <c r="CL28" s="1263"/>
    </row>
    <row r="29" spans="1:90">
      <c r="A29" s="1264">
        <f t="shared" si="0"/>
        <v>28</v>
      </c>
      <c r="B29" s="1271" t="s">
        <v>366</v>
      </c>
      <c r="C29" s="1263" t="s">
        <v>312</v>
      </c>
      <c r="D29" s="1263" t="s">
        <v>313</v>
      </c>
      <c r="E29" s="1266">
        <v>116.89</v>
      </c>
      <c r="F29" s="1266">
        <v>119.49</v>
      </c>
      <c r="G29" s="1266">
        <v>5065</v>
      </c>
      <c r="H29" s="1266">
        <v>2655</v>
      </c>
      <c r="I29" s="1266">
        <v>8660</v>
      </c>
      <c r="J29" s="1266">
        <v>7.1859999999999999</v>
      </c>
      <c r="K29" s="1266">
        <v>2154.6999999999998</v>
      </c>
      <c r="L29" s="1267">
        <v>65</v>
      </c>
      <c r="M29" s="1266">
        <v>14.99</v>
      </c>
      <c r="N29" s="1263" t="s">
        <v>367</v>
      </c>
      <c r="O29" s="1263" t="s">
        <v>225</v>
      </c>
      <c r="P29" s="1263" t="s">
        <v>364</v>
      </c>
      <c r="Q29" s="1268">
        <v>7099.3729999999996</v>
      </c>
      <c r="R29" s="1268">
        <v>1.8340000000000001</v>
      </c>
      <c r="S29" s="1269">
        <v>44676</v>
      </c>
      <c r="T29" s="1269">
        <v>44710</v>
      </c>
      <c r="U29" s="1270">
        <v>195.5</v>
      </c>
      <c r="V29" s="1263" t="s">
        <v>5</v>
      </c>
      <c r="W29" s="1270">
        <v>260</v>
      </c>
      <c r="X29" s="1263" t="s">
        <v>5</v>
      </c>
      <c r="Y29" s="1270">
        <v>30</v>
      </c>
      <c r="Z29" s="1263" t="s">
        <v>5</v>
      </c>
      <c r="AA29" s="1270">
        <v>635</v>
      </c>
      <c r="AB29" s="1270">
        <v>635</v>
      </c>
      <c r="AC29" s="1270">
        <v>649</v>
      </c>
      <c r="AD29" s="1270">
        <v>649</v>
      </c>
      <c r="AE29" s="1270">
        <v>662</v>
      </c>
      <c r="AF29" s="1270">
        <v>629</v>
      </c>
      <c r="AG29" s="1270">
        <v>344</v>
      </c>
      <c r="AH29" s="1270">
        <v>344</v>
      </c>
      <c r="AI29" s="1270">
        <v>455</v>
      </c>
      <c r="AJ29" s="1270">
        <v>455</v>
      </c>
      <c r="AK29" s="1270">
        <v>405</v>
      </c>
      <c r="AL29" s="1270">
        <v>382</v>
      </c>
      <c r="AM29" s="1270"/>
      <c r="AN29" s="1263"/>
      <c r="AO29" s="1263"/>
      <c r="AP29" s="1263" t="str">
        <f ca="1"/>
        <v>SUURHUSEN</v>
      </c>
      <c r="AQ29" s="1263"/>
      <c r="AR29" s="1263"/>
      <c r="AS29" s="1263"/>
      <c r="AT29" s="1263"/>
      <c r="AU29" s="1263"/>
      <c r="AV29" s="1263"/>
      <c r="AW29" s="1263"/>
      <c r="AX29" s="1263"/>
      <c r="AY29" s="1263"/>
      <c r="AZ29" s="1263"/>
      <c r="BA29" s="1263"/>
      <c r="BB29" s="1263"/>
      <c r="BC29" s="1263"/>
      <c r="BD29" s="1263"/>
      <c r="BE29" s="1263"/>
      <c r="BF29" s="1263"/>
      <c r="BG29" s="1263"/>
      <c r="BH29" s="1263"/>
      <c r="BI29" s="1263"/>
      <c r="BJ29" s="1263"/>
      <c r="BK29" s="1263"/>
      <c r="BL29" s="1263"/>
      <c r="BM29" s="1263"/>
      <c r="BN29" s="1263"/>
      <c r="BO29" s="1263"/>
      <c r="BP29" s="1263"/>
      <c r="BQ29" s="1263"/>
      <c r="BR29" s="1263"/>
      <c r="BS29" s="1263"/>
      <c r="BT29" s="1263"/>
      <c r="BU29" s="1263"/>
      <c r="BV29" s="1263"/>
      <c r="BW29" s="1263"/>
      <c r="BX29" s="1263"/>
      <c r="BY29" s="1263"/>
      <c r="BZ29" s="1263"/>
      <c r="CA29" s="1263"/>
      <c r="CB29" s="1263"/>
      <c r="CC29" s="1263"/>
      <c r="CD29" s="1263"/>
      <c r="CE29" s="1263"/>
      <c r="CF29" s="1263"/>
      <c r="CG29" s="1263"/>
      <c r="CH29" s="1263"/>
      <c r="CI29" s="1263"/>
      <c r="CJ29" s="1263"/>
      <c r="CK29" s="1263"/>
      <c r="CL29" s="1263"/>
    </row>
    <row r="30" spans="1:90">
      <c r="A30" s="1264">
        <f t="shared" si="0"/>
        <v>29</v>
      </c>
      <c r="B30" s="1271" t="s">
        <v>368</v>
      </c>
      <c r="C30" s="1263" t="s">
        <v>369</v>
      </c>
      <c r="D30" s="1263" t="s">
        <v>370</v>
      </c>
      <c r="E30" s="1266">
        <v>108.3</v>
      </c>
      <c r="F30" s="1266">
        <v>114.4</v>
      </c>
      <c r="G30" s="1266">
        <v>4255</v>
      </c>
      <c r="H30" s="1266">
        <v>2341</v>
      </c>
      <c r="I30" s="1266">
        <v>6050</v>
      </c>
      <c r="J30" s="1266">
        <v>6.04</v>
      </c>
      <c r="K30" s="1266">
        <v>2111.6</v>
      </c>
      <c r="L30" s="1267">
        <v>150</v>
      </c>
      <c r="M30" s="1266">
        <v>14.4</v>
      </c>
      <c r="N30" s="1263" t="s">
        <v>371</v>
      </c>
      <c r="O30" s="1263" t="s">
        <v>225</v>
      </c>
      <c r="P30" s="1263" t="s">
        <v>364</v>
      </c>
      <c r="Q30" s="1268">
        <v>4949.8</v>
      </c>
      <c r="R30" s="1268">
        <v>0.128</v>
      </c>
      <c r="S30" s="1269">
        <v>44761</v>
      </c>
      <c r="T30" s="1269">
        <v>44764</v>
      </c>
      <c r="U30" s="1270">
        <v>177.5</v>
      </c>
      <c r="V30" s="1263" t="s">
        <v>5</v>
      </c>
      <c r="W30" s="1270">
        <v>233.5</v>
      </c>
      <c r="X30" s="1263" t="s">
        <v>5</v>
      </c>
      <c r="Y30" s="1270">
        <v>109.6</v>
      </c>
      <c r="Z30" s="1263" t="s">
        <v>226</v>
      </c>
      <c r="AA30" s="1270">
        <v>580</v>
      </c>
      <c r="AB30" s="1270">
        <v>580</v>
      </c>
      <c r="AC30" s="1270">
        <v>618</v>
      </c>
      <c r="AD30" s="1270">
        <v>618</v>
      </c>
      <c r="AE30" s="1270">
        <v>601.20000000000005</v>
      </c>
      <c r="AF30" s="1270">
        <v>609.20000000000005</v>
      </c>
      <c r="AG30" s="1270">
        <v>258</v>
      </c>
      <c r="AH30" s="1270">
        <v>255</v>
      </c>
      <c r="AI30" s="1270">
        <v>380</v>
      </c>
      <c r="AJ30" s="1270">
        <v>380</v>
      </c>
      <c r="AK30" s="1270">
        <v>327</v>
      </c>
      <c r="AL30" s="1270">
        <v>300</v>
      </c>
      <c r="AM30" s="1270"/>
      <c r="AN30" s="1263"/>
      <c r="AO30" s="1263"/>
      <c r="AP30" s="1263" t="str">
        <f ca="1"/>
        <v>ARKLOW BAY</v>
      </c>
      <c r="AQ30" s="1263"/>
      <c r="AR30" s="1263"/>
      <c r="AS30" s="1263"/>
      <c r="AT30" s="1263"/>
      <c r="AU30" s="1263"/>
      <c r="AV30" s="1263"/>
      <c r="AW30" s="1263"/>
      <c r="AX30" s="1263"/>
      <c r="AY30" s="1263"/>
      <c r="AZ30" s="1263"/>
      <c r="BA30" s="1263"/>
      <c r="BB30" s="1263"/>
      <c r="BC30" s="1263"/>
      <c r="BD30" s="1263"/>
      <c r="BE30" s="1263"/>
      <c r="BF30" s="1263"/>
      <c r="BG30" s="1263"/>
      <c r="BH30" s="1263"/>
      <c r="BI30" s="1263"/>
      <c r="BJ30" s="1263"/>
      <c r="BK30" s="1263"/>
      <c r="BL30" s="1263"/>
      <c r="BM30" s="1263"/>
      <c r="BN30" s="1263"/>
      <c r="BO30" s="1263"/>
      <c r="BP30" s="1263"/>
      <c r="BQ30" s="1263"/>
      <c r="BR30" s="1263"/>
      <c r="BS30" s="1263"/>
      <c r="BT30" s="1263"/>
      <c r="BU30" s="1263"/>
      <c r="BV30" s="1263"/>
      <c r="BW30" s="1263"/>
      <c r="BX30" s="1263"/>
      <c r="BY30" s="1263"/>
      <c r="BZ30" s="1263"/>
      <c r="CA30" s="1263"/>
      <c r="CB30" s="1263"/>
      <c r="CC30" s="1263"/>
      <c r="CD30" s="1263"/>
      <c r="CE30" s="1263"/>
      <c r="CF30" s="1263"/>
      <c r="CG30" s="1263"/>
      <c r="CH30" s="1263"/>
      <c r="CI30" s="1263"/>
      <c r="CJ30" s="1263"/>
      <c r="CK30" s="1263"/>
      <c r="CL30" s="1263"/>
    </row>
    <row r="31" spans="1:90">
      <c r="A31" s="1264">
        <f t="shared" si="0"/>
        <v>30</v>
      </c>
      <c r="B31" s="1271" t="s">
        <v>372</v>
      </c>
      <c r="C31" s="1263" t="s">
        <v>312</v>
      </c>
      <c r="D31" s="1263" t="s">
        <v>313</v>
      </c>
      <c r="E31" s="1266">
        <v>116.89</v>
      </c>
      <c r="F31" s="1266">
        <v>120.45</v>
      </c>
      <c r="G31" s="1266">
        <v>5708</v>
      </c>
      <c r="H31" s="1266">
        <v>2704</v>
      </c>
      <c r="I31" s="1266">
        <v>8560</v>
      </c>
      <c r="J31" s="1266">
        <v>7.2009999999999996</v>
      </c>
      <c r="K31" s="1266">
        <v>2292.6999999999998</v>
      </c>
      <c r="L31" s="1267">
        <v>90</v>
      </c>
      <c r="M31" s="1266">
        <v>14.99</v>
      </c>
      <c r="N31" s="1263" t="s">
        <v>363</v>
      </c>
      <c r="O31" s="1263" t="s">
        <v>225</v>
      </c>
      <c r="P31" s="1263" t="s">
        <v>364</v>
      </c>
      <c r="Q31" s="1268">
        <v>6905.95</v>
      </c>
      <c r="R31" s="1268">
        <v>2.524</v>
      </c>
      <c r="S31" s="1269">
        <v>44732</v>
      </c>
      <c r="T31" s="1269">
        <v>44734</v>
      </c>
      <c r="U31" s="1270">
        <v>99.5</v>
      </c>
      <c r="V31" s="1263" t="s">
        <v>5</v>
      </c>
      <c r="W31" s="1270">
        <v>260</v>
      </c>
      <c r="X31" s="1263" t="s">
        <v>226</v>
      </c>
      <c r="Y31" s="1270">
        <v>0</v>
      </c>
      <c r="Z31" s="1263" t="s">
        <v>306</v>
      </c>
      <c r="AA31" s="1270">
        <v>555</v>
      </c>
      <c r="AB31" s="1270">
        <v>555</v>
      </c>
      <c r="AC31" s="1270">
        <v>584</v>
      </c>
      <c r="AD31" s="1270">
        <v>584</v>
      </c>
      <c r="AE31" s="1270">
        <v>567</v>
      </c>
      <c r="AF31" s="1270">
        <v>573</v>
      </c>
      <c r="AG31" s="1270">
        <v>286</v>
      </c>
      <c r="AH31" s="1270">
        <v>289</v>
      </c>
      <c r="AI31" s="1270">
        <v>398</v>
      </c>
      <c r="AJ31" s="1270">
        <v>395</v>
      </c>
      <c r="AK31" s="1270">
        <v>333</v>
      </c>
      <c r="AL31" s="1270">
        <v>342</v>
      </c>
      <c r="AM31" s="1270"/>
      <c r="AN31" s="1263"/>
      <c r="AO31" s="1263"/>
      <c r="AP31" s="1263" t="str">
        <f ca="1"/>
        <v>MARIA ELISE</v>
      </c>
      <c r="AQ31" s="1263"/>
      <c r="AR31" s="1263"/>
      <c r="AS31" s="1263"/>
      <c r="AT31" s="1263"/>
      <c r="AU31" s="1263"/>
      <c r="AV31" s="1263"/>
      <c r="AW31" s="1263"/>
      <c r="AX31" s="1263"/>
      <c r="AY31" s="1263"/>
      <c r="AZ31" s="1263"/>
      <c r="BA31" s="1263"/>
      <c r="BB31" s="1263"/>
      <c r="BC31" s="1263"/>
      <c r="BD31" s="1263"/>
      <c r="BE31" s="1263"/>
      <c r="BF31" s="1263"/>
      <c r="BG31" s="1263"/>
      <c r="BH31" s="1263"/>
      <c r="BI31" s="1263"/>
      <c r="BJ31" s="1263"/>
      <c r="BK31" s="1263"/>
      <c r="BL31" s="1263"/>
      <c r="BM31" s="1263"/>
      <c r="BN31" s="1263"/>
      <c r="BO31" s="1263"/>
      <c r="BP31" s="1263"/>
      <c r="BQ31" s="1263"/>
      <c r="BR31" s="1263"/>
      <c r="BS31" s="1263"/>
      <c r="BT31" s="1263"/>
      <c r="BU31" s="1263"/>
      <c r="BV31" s="1263"/>
      <c r="BW31" s="1263"/>
      <c r="BX31" s="1263"/>
      <c r="BY31" s="1263"/>
      <c r="BZ31" s="1263"/>
      <c r="CA31" s="1263"/>
      <c r="CB31" s="1263"/>
      <c r="CC31" s="1263"/>
      <c r="CD31" s="1263"/>
      <c r="CE31" s="1263"/>
      <c r="CF31" s="1263"/>
      <c r="CG31" s="1263"/>
      <c r="CH31" s="1263"/>
      <c r="CI31" s="1263"/>
      <c r="CJ31" s="1263"/>
      <c r="CK31" s="1263"/>
      <c r="CL31" s="1263"/>
    </row>
    <row r="32" spans="1:90">
      <c r="A32" s="1264">
        <f t="shared" si="0"/>
        <v>31</v>
      </c>
      <c r="B32" s="1271" t="s">
        <v>373</v>
      </c>
      <c r="C32" s="1263" t="s">
        <v>374</v>
      </c>
      <c r="D32" s="1263" t="s">
        <v>374</v>
      </c>
      <c r="E32" s="1266">
        <v>128</v>
      </c>
      <c r="F32" s="1266">
        <v>135.80000000000001</v>
      </c>
      <c r="G32" s="1266">
        <v>9973</v>
      </c>
      <c r="H32" s="1266">
        <v>4781</v>
      </c>
      <c r="I32" s="1266">
        <v>15963</v>
      </c>
      <c r="J32" s="1266">
        <v>8.8000000000000007</v>
      </c>
      <c r="K32" s="1266">
        <v>4322.6660000000002</v>
      </c>
      <c r="L32" s="1267">
        <v>230</v>
      </c>
      <c r="M32" s="1266">
        <v>22</v>
      </c>
      <c r="N32" s="1263" t="s">
        <v>359</v>
      </c>
      <c r="O32" s="1263" t="s">
        <v>225</v>
      </c>
      <c r="P32" s="1263" t="s">
        <v>360</v>
      </c>
      <c r="Q32" s="1268">
        <v>14619.481</v>
      </c>
      <c r="R32" s="1268">
        <v>3.4239999999999999</v>
      </c>
      <c r="S32" s="1269">
        <v>44556</v>
      </c>
      <c r="T32" s="1269">
        <v>44562</v>
      </c>
      <c r="U32" s="1270">
        <v>185</v>
      </c>
      <c r="V32" s="1263" t="s">
        <v>5</v>
      </c>
      <c r="W32" s="1270">
        <v>540</v>
      </c>
      <c r="X32" s="1263" t="s">
        <v>226</v>
      </c>
      <c r="Y32" s="1270">
        <v>10</v>
      </c>
      <c r="Z32" s="1263" t="s">
        <v>5</v>
      </c>
      <c r="AA32" s="1270">
        <v>867</v>
      </c>
      <c r="AB32" s="1270">
        <v>870</v>
      </c>
      <c r="AC32" s="1270">
        <v>846</v>
      </c>
      <c r="AD32" s="1270">
        <v>852</v>
      </c>
      <c r="AE32" s="1270">
        <v>845</v>
      </c>
      <c r="AF32" s="1270">
        <v>881</v>
      </c>
      <c r="AG32" s="1270">
        <v>370</v>
      </c>
      <c r="AH32" s="1270">
        <v>370</v>
      </c>
      <c r="AI32" s="1270">
        <v>532</v>
      </c>
      <c r="AJ32" s="1270">
        <v>532</v>
      </c>
      <c r="AK32" s="1270">
        <v>451</v>
      </c>
      <c r="AL32" s="1270">
        <v>450</v>
      </c>
      <c r="AM32" s="1270"/>
      <c r="AN32" s="1263"/>
      <c r="AO32" s="1263"/>
      <c r="AP32" s="1263" t="str">
        <f ca="1"/>
        <v>ARKLOW ABBEY</v>
      </c>
      <c r="AQ32" s="1263"/>
      <c r="AR32" s="1263"/>
      <c r="AS32" s="1263"/>
      <c r="AT32" s="1263"/>
      <c r="AU32" s="1263"/>
      <c r="AV32" s="1263"/>
      <c r="AW32" s="1263"/>
      <c r="AX32" s="1263"/>
      <c r="AY32" s="1263"/>
      <c r="AZ32" s="1263"/>
      <c r="BA32" s="1263"/>
      <c r="BB32" s="1263"/>
      <c r="BC32" s="1263"/>
      <c r="BD32" s="1263"/>
      <c r="BE32" s="1263"/>
      <c r="BF32" s="1263"/>
      <c r="BG32" s="1263"/>
      <c r="BH32" s="1263"/>
      <c r="BI32" s="1263"/>
      <c r="BJ32" s="1263"/>
      <c r="BK32" s="1263"/>
      <c r="BL32" s="1263"/>
      <c r="BM32" s="1263"/>
      <c r="BN32" s="1263"/>
      <c r="BO32" s="1263"/>
      <c r="BP32" s="1263"/>
      <c r="BQ32" s="1263"/>
      <c r="BR32" s="1263"/>
      <c r="BS32" s="1263"/>
      <c r="BT32" s="1263"/>
      <c r="BU32" s="1263"/>
      <c r="BV32" s="1263"/>
      <c r="BW32" s="1263"/>
      <c r="BX32" s="1263"/>
      <c r="BY32" s="1263"/>
      <c r="BZ32" s="1263"/>
      <c r="CA32" s="1263"/>
      <c r="CB32" s="1263"/>
      <c r="CC32" s="1263"/>
      <c r="CD32" s="1263"/>
      <c r="CE32" s="1263"/>
      <c r="CF32" s="1263"/>
      <c r="CG32" s="1263"/>
      <c r="CH32" s="1263"/>
      <c r="CI32" s="1263"/>
      <c r="CJ32" s="1263"/>
      <c r="CK32" s="1263"/>
      <c r="CL32" s="1263"/>
    </row>
    <row r="33" spans="1:90">
      <c r="A33" s="1264">
        <f t="shared" si="0"/>
        <v>32</v>
      </c>
      <c r="B33" s="1271" t="s">
        <v>375</v>
      </c>
      <c r="C33" s="1263" t="s">
        <v>223</v>
      </c>
      <c r="D33" s="1263" t="s">
        <v>362</v>
      </c>
      <c r="E33" s="1266">
        <v>109.78</v>
      </c>
      <c r="F33" s="1266">
        <v>116.08</v>
      </c>
      <c r="G33" s="1266">
        <v>4723</v>
      </c>
      <c r="H33" s="1266">
        <v>2723</v>
      </c>
      <c r="I33" s="1266">
        <v>7592.46</v>
      </c>
      <c r="J33" s="1266">
        <v>8.9</v>
      </c>
      <c r="K33" s="1266">
        <v>2067.5300000000002</v>
      </c>
      <c r="L33" s="1267">
        <v>120</v>
      </c>
      <c r="M33" s="1266">
        <v>15.8</v>
      </c>
      <c r="N33" s="1263" t="s">
        <v>363</v>
      </c>
      <c r="O33" s="1263" t="s">
        <v>225</v>
      </c>
      <c r="P33" s="1263" t="s">
        <v>364</v>
      </c>
      <c r="Q33" s="1268">
        <v>4826.6629999999996</v>
      </c>
      <c r="R33" s="1268">
        <v>1.2729999999999999</v>
      </c>
      <c r="S33" s="1269">
        <v>44721</v>
      </c>
      <c r="T33" s="1269">
        <v>44724</v>
      </c>
      <c r="U33" s="1270">
        <v>187</v>
      </c>
      <c r="V33" s="1263" t="s">
        <v>5</v>
      </c>
      <c r="W33" s="1270">
        <v>210</v>
      </c>
      <c r="X33" s="1263" t="s">
        <v>5</v>
      </c>
      <c r="Y33" s="1270">
        <v>27</v>
      </c>
      <c r="Z33" s="1263" t="s">
        <v>226</v>
      </c>
      <c r="AA33" s="1270">
        <v>477</v>
      </c>
      <c r="AB33" s="1270">
        <v>477</v>
      </c>
      <c r="AC33" s="1270">
        <v>523</v>
      </c>
      <c r="AD33" s="1270">
        <v>523</v>
      </c>
      <c r="AE33" s="1270">
        <v>496</v>
      </c>
      <c r="AF33" s="1270">
        <v>498</v>
      </c>
      <c r="AG33" s="1270">
        <v>348</v>
      </c>
      <c r="AH33" s="1270">
        <v>348</v>
      </c>
      <c r="AI33" s="1270">
        <v>430</v>
      </c>
      <c r="AJ33" s="1270">
        <v>430</v>
      </c>
      <c r="AK33" s="1270">
        <v>385</v>
      </c>
      <c r="AL33" s="1270">
        <v>386</v>
      </c>
      <c r="AM33" s="1270"/>
      <c r="AN33" s="1263"/>
      <c r="AO33" s="1263"/>
      <c r="AP33" s="1263" t="str">
        <f ca="1"/>
        <v>GOLDEN SEA</v>
      </c>
      <c r="AQ33" s="1263"/>
      <c r="AR33" s="1263"/>
      <c r="AS33" s="1263"/>
      <c r="AT33" s="1263"/>
      <c r="AU33" s="1263"/>
      <c r="AV33" s="1263"/>
      <c r="AW33" s="1263"/>
      <c r="AX33" s="1263"/>
      <c r="AY33" s="1263"/>
      <c r="AZ33" s="1263"/>
      <c r="BA33" s="1263"/>
      <c r="BB33" s="1263"/>
      <c r="BC33" s="1263"/>
      <c r="BD33" s="1263"/>
      <c r="BE33" s="1263"/>
      <c r="BF33" s="1263"/>
      <c r="BG33" s="1263"/>
      <c r="BH33" s="1263"/>
      <c r="BI33" s="1263"/>
      <c r="BJ33" s="1263"/>
      <c r="BK33" s="1263"/>
      <c r="BL33" s="1263"/>
      <c r="BM33" s="1263"/>
      <c r="BN33" s="1263"/>
      <c r="BO33" s="1263"/>
      <c r="BP33" s="1263"/>
      <c r="BQ33" s="1263"/>
      <c r="BR33" s="1263"/>
      <c r="BS33" s="1263"/>
      <c r="BT33" s="1263"/>
      <c r="BU33" s="1263"/>
      <c r="BV33" s="1263"/>
      <c r="BW33" s="1263"/>
      <c r="BX33" s="1263"/>
      <c r="BY33" s="1263"/>
      <c r="BZ33" s="1263"/>
      <c r="CA33" s="1263"/>
      <c r="CB33" s="1263"/>
      <c r="CC33" s="1263"/>
      <c r="CD33" s="1263"/>
      <c r="CE33" s="1263"/>
      <c r="CF33" s="1263"/>
      <c r="CG33" s="1263"/>
      <c r="CH33" s="1263"/>
      <c r="CI33" s="1263"/>
      <c r="CJ33" s="1263"/>
      <c r="CK33" s="1263"/>
      <c r="CL33" s="1263"/>
    </row>
    <row r="34" spans="1:90">
      <c r="A34" s="1264">
        <f t="shared" si="0"/>
        <v>33</v>
      </c>
      <c r="B34" s="1271" t="s">
        <v>376</v>
      </c>
      <c r="C34" s="1263" t="s">
        <v>369</v>
      </c>
      <c r="D34" s="1263" t="s">
        <v>370</v>
      </c>
      <c r="E34" s="1266">
        <v>109</v>
      </c>
      <c r="F34" s="1266">
        <v>115.33</v>
      </c>
      <c r="G34" s="1266">
        <v>7404</v>
      </c>
      <c r="H34" s="1266">
        <v>3884</v>
      </c>
      <c r="I34" s="1266">
        <v>12497</v>
      </c>
      <c r="J34" s="1266">
        <v>8.7870000000000008</v>
      </c>
      <c r="K34" s="1266">
        <v>3145</v>
      </c>
      <c r="L34" s="1267">
        <v>75</v>
      </c>
      <c r="M34" s="1266">
        <v>19.600000000000001</v>
      </c>
      <c r="N34" s="1263" t="s">
        <v>371</v>
      </c>
      <c r="O34" s="1263" t="s">
        <v>225</v>
      </c>
      <c r="P34" s="1263" t="s">
        <v>364</v>
      </c>
      <c r="Q34" s="1268">
        <v>8496.491</v>
      </c>
      <c r="R34" s="1268">
        <v>2.6549999999999998</v>
      </c>
      <c r="S34" s="1269">
        <v>44275</v>
      </c>
      <c r="T34" s="1269">
        <v>44280</v>
      </c>
      <c r="U34" s="1270">
        <v>175</v>
      </c>
      <c r="V34" s="1263" t="s">
        <v>5</v>
      </c>
      <c r="W34" s="1270">
        <v>420</v>
      </c>
      <c r="X34" s="1263" t="s">
        <v>226</v>
      </c>
      <c r="Y34" s="1270">
        <v>0</v>
      </c>
      <c r="Z34" s="1263" t="s">
        <v>306</v>
      </c>
      <c r="AA34" s="1270">
        <v>684</v>
      </c>
      <c r="AB34" s="1270">
        <v>684</v>
      </c>
      <c r="AC34" s="1270">
        <v>740</v>
      </c>
      <c r="AD34" s="1270">
        <v>740</v>
      </c>
      <c r="AE34" s="1270">
        <v>721</v>
      </c>
      <c r="AF34" s="1270">
        <v>709</v>
      </c>
      <c r="AG34" s="1270">
        <v>322</v>
      </c>
      <c r="AH34" s="1270">
        <v>318</v>
      </c>
      <c r="AI34" s="1270">
        <v>488</v>
      </c>
      <c r="AJ34" s="1270">
        <v>512</v>
      </c>
      <c r="AK34" s="1270">
        <v>389</v>
      </c>
      <c r="AL34" s="1270">
        <v>420</v>
      </c>
      <c r="AM34" s="1270"/>
      <c r="AN34" s="1263"/>
      <c r="AO34" s="1263"/>
      <c r="AP34" s="1263" t="str">
        <f ca="1"/>
        <v>ALEXANDER</v>
      </c>
      <c r="AQ34" s="1263"/>
      <c r="AR34" s="1263"/>
      <c r="AS34" s="1263"/>
      <c r="AT34" s="1263"/>
      <c r="AU34" s="1263"/>
      <c r="AV34" s="1263"/>
      <c r="AW34" s="1263"/>
      <c r="AX34" s="1263"/>
      <c r="AY34" s="1263"/>
      <c r="AZ34" s="1263"/>
      <c r="BA34" s="1263"/>
      <c r="BB34" s="1263"/>
      <c r="BC34" s="1263"/>
      <c r="BD34" s="1263"/>
      <c r="BE34" s="1263"/>
      <c r="BF34" s="1263"/>
      <c r="BG34" s="1263"/>
      <c r="BH34" s="1263"/>
      <c r="BI34" s="1263"/>
      <c r="BJ34" s="1263"/>
      <c r="BK34" s="1263"/>
      <c r="BL34" s="1263"/>
      <c r="BM34" s="1263"/>
      <c r="BN34" s="1263"/>
      <c r="BO34" s="1263"/>
      <c r="BP34" s="1263"/>
      <c r="BQ34" s="1263"/>
      <c r="BR34" s="1263"/>
      <c r="BS34" s="1263"/>
      <c r="BT34" s="1263"/>
      <c r="BU34" s="1263"/>
      <c r="BV34" s="1263"/>
      <c r="BW34" s="1263"/>
      <c r="BX34" s="1263"/>
      <c r="BY34" s="1263"/>
      <c r="BZ34" s="1263"/>
      <c r="CA34" s="1263"/>
      <c r="CB34" s="1263"/>
      <c r="CC34" s="1263"/>
      <c r="CD34" s="1263"/>
      <c r="CE34" s="1263"/>
      <c r="CF34" s="1263"/>
      <c r="CG34" s="1263"/>
      <c r="CH34" s="1263"/>
      <c r="CI34" s="1263"/>
      <c r="CJ34" s="1263"/>
      <c r="CK34" s="1263"/>
      <c r="CL34" s="1263"/>
    </row>
    <row r="35" spans="1:90">
      <c r="A35" s="1264">
        <f t="shared" si="0"/>
        <v>34</v>
      </c>
      <c r="B35" s="1271" t="s">
        <v>377</v>
      </c>
      <c r="C35" s="1263" t="s">
        <v>378</v>
      </c>
      <c r="D35" s="1263" t="s">
        <v>379</v>
      </c>
      <c r="E35" s="1266">
        <v>94.9</v>
      </c>
      <c r="F35" s="1266">
        <v>99.8</v>
      </c>
      <c r="G35" s="1266">
        <v>3778</v>
      </c>
      <c r="H35" s="1266">
        <v>1795</v>
      </c>
      <c r="I35" s="1266">
        <v>5580</v>
      </c>
      <c r="J35" s="1266">
        <v>6.5250000000000004</v>
      </c>
      <c r="K35" s="1266">
        <v>1990</v>
      </c>
      <c r="L35" s="1267">
        <v>90</v>
      </c>
      <c r="M35" s="1266">
        <v>14</v>
      </c>
      <c r="N35" s="1263" t="s">
        <v>380</v>
      </c>
      <c r="O35" s="1263" t="s">
        <v>225</v>
      </c>
      <c r="P35" s="1263" t="s">
        <v>364</v>
      </c>
      <c r="Q35" s="1268">
        <v>5340</v>
      </c>
      <c r="R35" s="1268">
        <v>2.3199999999999998</v>
      </c>
      <c r="S35" s="1269">
        <v>44729</v>
      </c>
      <c r="T35" s="1269">
        <v>44368</v>
      </c>
      <c r="U35" s="1270">
        <v>40</v>
      </c>
      <c r="V35" s="1263" t="s">
        <v>5</v>
      </c>
      <c r="W35" s="1270">
        <v>180</v>
      </c>
      <c r="X35" s="1263" t="s">
        <v>5</v>
      </c>
      <c r="Y35" s="1270">
        <v>5</v>
      </c>
      <c r="Z35" s="1263" t="s">
        <v>5</v>
      </c>
      <c r="AA35" s="1270">
        <v>604</v>
      </c>
      <c r="AB35" s="1270">
        <v>602</v>
      </c>
      <c r="AC35" s="1270">
        <v>702</v>
      </c>
      <c r="AD35" s="1270">
        <v>702</v>
      </c>
      <c r="AE35" s="1270">
        <v>667</v>
      </c>
      <c r="AF35" s="1270">
        <v>637</v>
      </c>
      <c r="AG35" s="1270">
        <v>321</v>
      </c>
      <c r="AH35" s="1270">
        <v>321</v>
      </c>
      <c r="AI35" s="1270">
        <v>391</v>
      </c>
      <c r="AJ35" s="1270">
        <v>391</v>
      </c>
      <c r="AK35" s="1270">
        <v>341</v>
      </c>
      <c r="AL35" s="1270">
        <v>358</v>
      </c>
      <c r="AM35" s="1270"/>
      <c r="AN35" s="1263"/>
      <c r="AO35" s="1263"/>
      <c r="AP35" s="1263" t="str">
        <f ca="1"/>
        <v>ADAROSE</v>
      </c>
      <c r="AQ35" s="1263"/>
      <c r="AR35" s="1263"/>
      <c r="AS35" s="1263"/>
      <c r="AT35" s="1263"/>
      <c r="AU35" s="1263"/>
      <c r="AV35" s="1263"/>
      <c r="AW35" s="1263"/>
      <c r="AX35" s="1263"/>
      <c r="AY35" s="1263"/>
      <c r="AZ35" s="1263"/>
      <c r="BA35" s="1263"/>
      <c r="BB35" s="1263"/>
      <c r="BC35" s="1263"/>
      <c r="BD35" s="1263"/>
      <c r="BE35" s="1263"/>
      <c r="BF35" s="1263"/>
      <c r="BG35" s="1263"/>
      <c r="BH35" s="1263"/>
      <c r="BI35" s="1263"/>
      <c r="BJ35" s="1263"/>
      <c r="BK35" s="1263"/>
      <c r="BL35" s="1263"/>
      <c r="BM35" s="1263"/>
      <c r="BN35" s="1263"/>
      <c r="BO35" s="1263"/>
      <c r="BP35" s="1263"/>
      <c r="BQ35" s="1263"/>
      <c r="BR35" s="1263"/>
      <c r="BS35" s="1263"/>
      <c r="BT35" s="1263"/>
      <c r="BU35" s="1263"/>
      <c r="BV35" s="1263"/>
      <c r="BW35" s="1263"/>
      <c r="BX35" s="1263"/>
      <c r="BY35" s="1263"/>
      <c r="BZ35" s="1263"/>
      <c r="CA35" s="1263"/>
      <c r="CB35" s="1263"/>
      <c r="CC35" s="1263"/>
      <c r="CD35" s="1263"/>
      <c r="CE35" s="1263"/>
      <c r="CF35" s="1263"/>
      <c r="CG35" s="1263"/>
      <c r="CH35" s="1263"/>
      <c r="CI35" s="1263"/>
      <c r="CJ35" s="1263"/>
      <c r="CK35" s="1263"/>
      <c r="CL35" s="1263"/>
    </row>
    <row r="36" spans="1:90">
      <c r="A36" s="1264">
        <f t="shared" si="0"/>
        <v>35</v>
      </c>
      <c r="B36" s="1271" t="s">
        <v>381</v>
      </c>
      <c r="C36" s="1263" t="s">
        <v>382</v>
      </c>
      <c r="D36" s="1263" t="s">
        <v>383</v>
      </c>
      <c r="E36" s="1266">
        <v>84.6</v>
      </c>
      <c r="F36" s="1266">
        <v>90.46</v>
      </c>
      <c r="G36" s="1266">
        <v>2825</v>
      </c>
      <c r="H36" s="1266">
        <v>1604</v>
      </c>
      <c r="I36" s="1266">
        <v>4148</v>
      </c>
      <c r="J36" s="1266">
        <v>5.5970000000000004</v>
      </c>
      <c r="K36" s="1266">
        <v>1288.8</v>
      </c>
      <c r="L36" s="1267">
        <v>60</v>
      </c>
      <c r="M36" s="1266">
        <v>13.2</v>
      </c>
      <c r="N36" s="1263" t="s">
        <v>384</v>
      </c>
      <c r="O36" s="1263" t="s">
        <v>225</v>
      </c>
      <c r="P36" s="1263" t="s">
        <v>364</v>
      </c>
      <c r="Q36" s="1268">
        <v>3046.7339999999999</v>
      </c>
      <c r="R36" s="1268">
        <v>0.38</v>
      </c>
      <c r="S36" s="1269">
        <v>44694</v>
      </c>
      <c r="T36" s="1269">
        <v>44696</v>
      </c>
      <c r="U36" s="1270">
        <v>327</v>
      </c>
      <c r="V36" s="1263" t="s">
        <v>5</v>
      </c>
      <c r="W36" s="1270">
        <v>290</v>
      </c>
      <c r="X36" s="1263" t="s">
        <v>5</v>
      </c>
      <c r="Y36" s="1270">
        <v>0</v>
      </c>
      <c r="Z36" s="1263" t="s">
        <v>306</v>
      </c>
      <c r="AA36" s="1270">
        <v>463</v>
      </c>
      <c r="AB36" s="1270">
        <v>472</v>
      </c>
      <c r="AC36" s="1270">
        <v>569</v>
      </c>
      <c r="AD36" s="1270">
        <v>569</v>
      </c>
      <c r="AE36" s="1270">
        <v>503</v>
      </c>
      <c r="AF36" s="1270">
        <v>526</v>
      </c>
      <c r="AG36" s="1270">
        <v>306</v>
      </c>
      <c r="AH36" s="1270">
        <v>306</v>
      </c>
      <c r="AI36" s="1270">
        <v>410</v>
      </c>
      <c r="AJ36" s="1270">
        <v>410</v>
      </c>
      <c r="AK36" s="1270">
        <v>353</v>
      </c>
      <c r="AL36" s="1270">
        <v>353</v>
      </c>
      <c r="AM36" s="1270"/>
      <c r="AN36" s="1263"/>
      <c r="AO36" s="1263"/>
      <c r="AP36" s="1263" t="str">
        <f ca="1"/>
        <v>FINITA R</v>
      </c>
      <c r="AQ36" s="1263"/>
      <c r="AR36" s="1263"/>
      <c r="AS36" s="1263"/>
      <c r="AT36" s="1263"/>
      <c r="AU36" s="1263"/>
      <c r="AV36" s="1263"/>
      <c r="AW36" s="1263"/>
      <c r="AX36" s="1263"/>
      <c r="AY36" s="1263"/>
      <c r="AZ36" s="1263"/>
      <c r="BA36" s="1263"/>
      <c r="BB36" s="1263"/>
      <c r="BC36" s="1263"/>
      <c r="BD36" s="1263"/>
      <c r="BE36" s="1263"/>
      <c r="BF36" s="1263"/>
      <c r="BG36" s="1263"/>
      <c r="BH36" s="1263"/>
      <c r="BI36" s="1263"/>
      <c r="BJ36" s="1263"/>
      <c r="BK36" s="1263"/>
      <c r="BL36" s="1263"/>
      <c r="BM36" s="1263"/>
      <c r="BN36" s="1263"/>
      <c r="BO36" s="1263"/>
      <c r="BP36" s="1263"/>
      <c r="BQ36" s="1263"/>
      <c r="BR36" s="1263"/>
      <c r="BS36" s="1263"/>
      <c r="BT36" s="1263"/>
      <c r="BU36" s="1263"/>
      <c r="BV36" s="1263"/>
      <c r="BW36" s="1263"/>
      <c r="BX36" s="1263"/>
      <c r="BY36" s="1263"/>
      <c r="BZ36" s="1263"/>
      <c r="CA36" s="1263"/>
      <c r="CB36" s="1263"/>
      <c r="CC36" s="1263"/>
      <c r="CD36" s="1263"/>
      <c r="CE36" s="1263"/>
      <c r="CF36" s="1263"/>
      <c r="CG36" s="1263"/>
      <c r="CH36" s="1263"/>
      <c r="CI36" s="1263"/>
      <c r="CJ36" s="1263"/>
      <c r="CK36" s="1263"/>
      <c r="CL36" s="1263"/>
    </row>
    <row r="37" spans="1:90">
      <c r="A37" s="1264">
        <f t="shared" si="0"/>
        <v>36</v>
      </c>
      <c r="B37" s="1271" t="s">
        <v>385</v>
      </c>
      <c r="C37" s="1263" t="s">
        <v>378</v>
      </c>
      <c r="D37" s="1263" t="s">
        <v>379</v>
      </c>
      <c r="E37" s="1266">
        <v>112</v>
      </c>
      <c r="F37" s="1266">
        <v>119.3</v>
      </c>
      <c r="G37" s="1266">
        <v>5335</v>
      </c>
      <c r="H37" s="1266">
        <v>2566</v>
      </c>
      <c r="I37" s="1266">
        <v>7243.4</v>
      </c>
      <c r="J37" s="1266">
        <v>6.6609999999999996</v>
      </c>
      <c r="K37" s="1266">
        <v>2893</v>
      </c>
      <c r="L37" s="1267">
        <v>40</v>
      </c>
      <c r="M37" s="1266">
        <v>16.5</v>
      </c>
      <c r="N37" s="1263" t="s">
        <v>386</v>
      </c>
      <c r="O37" s="1263" t="s">
        <v>225</v>
      </c>
      <c r="P37" s="1263" t="s">
        <v>364</v>
      </c>
      <c r="Q37" s="1268">
        <v>4955.9920000000002</v>
      </c>
      <c r="R37" s="1268">
        <v>1.21</v>
      </c>
      <c r="S37" s="1269">
        <v>44694</v>
      </c>
      <c r="T37" s="1269">
        <v>44696</v>
      </c>
      <c r="U37" s="1270">
        <v>25</v>
      </c>
      <c r="V37" s="1263" t="s">
        <v>5</v>
      </c>
      <c r="W37" s="1270">
        <v>240</v>
      </c>
      <c r="X37" s="1263" t="s">
        <v>5</v>
      </c>
      <c r="Y37" s="1270">
        <v>100.2</v>
      </c>
      <c r="Z37" s="1263" t="s">
        <v>5</v>
      </c>
      <c r="AA37" s="1270">
        <v>572</v>
      </c>
      <c r="AB37" s="1270">
        <v>572</v>
      </c>
      <c r="AC37" s="1270">
        <v>590</v>
      </c>
      <c r="AD37" s="1270">
        <v>590</v>
      </c>
      <c r="AE37" s="1270">
        <v>573</v>
      </c>
      <c r="AF37" s="1270">
        <v>599</v>
      </c>
      <c r="AG37" s="1270">
        <v>308</v>
      </c>
      <c r="AH37" s="1270">
        <v>308</v>
      </c>
      <c r="AI37" s="1270">
        <v>416</v>
      </c>
      <c r="AJ37" s="1270">
        <v>416</v>
      </c>
      <c r="AK37" s="1270">
        <v>367</v>
      </c>
      <c r="AL37" s="1270">
        <v>367</v>
      </c>
      <c r="AM37" s="1270"/>
      <c r="AN37" s="1263"/>
      <c r="AO37" s="1263"/>
      <c r="AP37" s="1263" t="str">
        <f ca="1"/>
        <v>SUNMI</v>
      </c>
      <c r="AQ37" s="1263"/>
      <c r="AR37" s="1263"/>
      <c r="AS37" s="1263"/>
      <c r="AT37" s="1263"/>
      <c r="AU37" s="1263"/>
      <c r="AV37" s="1263"/>
      <c r="AW37" s="1263"/>
      <c r="AX37" s="1263"/>
      <c r="AY37" s="1263"/>
      <c r="AZ37" s="1263"/>
      <c r="BA37" s="1263"/>
      <c r="BB37" s="1263"/>
      <c r="BC37" s="1263"/>
      <c r="BD37" s="1263"/>
      <c r="BE37" s="1263"/>
      <c r="BF37" s="1263"/>
      <c r="BG37" s="1263"/>
      <c r="BH37" s="1263"/>
      <c r="BI37" s="1263"/>
      <c r="BJ37" s="1263"/>
      <c r="BK37" s="1263"/>
      <c r="BL37" s="1263"/>
      <c r="BM37" s="1263"/>
      <c r="BN37" s="1263"/>
      <c r="BO37" s="1263"/>
      <c r="BP37" s="1263"/>
      <c r="BQ37" s="1263"/>
      <c r="BR37" s="1263"/>
      <c r="BS37" s="1263"/>
      <c r="BT37" s="1263"/>
      <c r="BU37" s="1263"/>
      <c r="BV37" s="1263"/>
      <c r="BW37" s="1263"/>
      <c r="BX37" s="1263"/>
      <c r="BY37" s="1263"/>
      <c r="BZ37" s="1263"/>
      <c r="CA37" s="1263"/>
      <c r="CB37" s="1263"/>
      <c r="CC37" s="1263"/>
      <c r="CD37" s="1263"/>
      <c r="CE37" s="1263"/>
      <c r="CF37" s="1263"/>
      <c r="CG37" s="1263"/>
      <c r="CH37" s="1263"/>
      <c r="CI37" s="1263"/>
      <c r="CJ37" s="1263"/>
      <c r="CK37" s="1263"/>
      <c r="CL37" s="1263"/>
    </row>
    <row r="38" spans="1:90">
      <c r="A38" s="1264">
        <f t="shared" si="0"/>
        <v>37</v>
      </c>
      <c r="B38" s="1271" t="s">
        <v>387</v>
      </c>
      <c r="C38" s="1263" t="s">
        <v>382</v>
      </c>
      <c r="D38" s="1263" t="s">
        <v>383</v>
      </c>
      <c r="E38" s="1266">
        <v>84.9</v>
      </c>
      <c r="F38" s="1266">
        <v>88.25</v>
      </c>
      <c r="G38" s="1266">
        <v>2373</v>
      </c>
      <c r="H38" s="1266">
        <v>1434</v>
      </c>
      <c r="I38" s="1266">
        <v>4219.643</v>
      </c>
      <c r="J38" s="1266">
        <v>5.4630000000000001</v>
      </c>
      <c r="K38" s="1266">
        <v>1070.357</v>
      </c>
      <c r="L38" s="1267">
        <v>0</v>
      </c>
      <c r="M38" s="1266">
        <v>13.17</v>
      </c>
      <c r="N38" s="1263" t="s">
        <v>388</v>
      </c>
      <c r="O38" s="1263" t="s">
        <v>225</v>
      </c>
      <c r="P38" s="1263" t="s">
        <v>364</v>
      </c>
      <c r="Q38" s="1268">
        <v>3453.8240000000001</v>
      </c>
      <c r="R38" s="1268">
        <v>0.89</v>
      </c>
      <c r="S38" s="1269">
        <v>44557</v>
      </c>
      <c r="T38" s="1269">
        <v>44562</v>
      </c>
      <c r="U38" s="1270">
        <v>38.5</v>
      </c>
      <c r="V38" s="1263" t="s">
        <v>5</v>
      </c>
      <c r="W38" s="1270">
        <v>180</v>
      </c>
      <c r="X38" s="1263" t="s">
        <v>5</v>
      </c>
      <c r="Y38" s="1270">
        <v>0</v>
      </c>
      <c r="Z38" s="1263" t="s">
        <v>306</v>
      </c>
      <c r="AA38" s="1270">
        <v>480</v>
      </c>
      <c r="AB38" s="1270">
        <v>482</v>
      </c>
      <c r="AC38" s="1270">
        <v>520</v>
      </c>
      <c r="AD38" s="1270">
        <v>520</v>
      </c>
      <c r="AE38" s="1270">
        <v>493</v>
      </c>
      <c r="AF38" s="1270">
        <v>512</v>
      </c>
      <c r="AG38" s="1270">
        <v>229</v>
      </c>
      <c r="AH38" s="1270">
        <v>229</v>
      </c>
      <c r="AI38" s="1270">
        <v>328</v>
      </c>
      <c r="AJ38" s="1270">
        <v>328</v>
      </c>
      <c r="AK38" s="1270">
        <v>278</v>
      </c>
      <c r="AL38" s="1270">
        <v>278</v>
      </c>
      <c r="AM38" s="1270"/>
      <c r="AN38" s="1263"/>
      <c r="AO38" s="1263"/>
      <c r="AP38" s="1263" t="str">
        <f ca="1"/>
        <v>SUA</v>
      </c>
      <c r="AQ38" s="1263"/>
      <c r="AR38" s="1263"/>
      <c r="AS38" s="1263"/>
      <c r="AT38" s="1263"/>
      <c r="AU38" s="1263"/>
      <c r="AV38" s="1263"/>
      <c r="AW38" s="1263"/>
      <c r="AX38" s="1263"/>
      <c r="AY38" s="1263"/>
      <c r="AZ38" s="1263"/>
      <c r="BA38" s="1263"/>
      <c r="BB38" s="1263"/>
      <c r="BC38" s="1263"/>
      <c r="BD38" s="1263"/>
      <c r="BE38" s="1263"/>
      <c r="BF38" s="1263"/>
      <c r="BG38" s="1263"/>
      <c r="BH38" s="1263"/>
      <c r="BI38" s="1263"/>
      <c r="BJ38" s="1263"/>
      <c r="BK38" s="1263"/>
      <c r="BL38" s="1263"/>
      <c r="BM38" s="1263"/>
      <c r="BN38" s="1263"/>
      <c r="BO38" s="1263"/>
      <c r="BP38" s="1263"/>
      <c r="BQ38" s="1263"/>
      <c r="BR38" s="1263"/>
      <c r="BS38" s="1263"/>
      <c r="BT38" s="1263"/>
      <c r="BU38" s="1263"/>
      <c r="BV38" s="1263"/>
      <c r="BW38" s="1263"/>
      <c r="BX38" s="1263"/>
      <c r="BY38" s="1263"/>
      <c r="BZ38" s="1263"/>
      <c r="CA38" s="1263"/>
      <c r="CB38" s="1263"/>
      <c r="CC38" s="1263"/>
      <c r="CD38" s="1263"/>
      <c r="CE38" s="1263"/>
      <c r="CF38" s="1263"/>
      <c r="CG38" s="1263"/>
      <c r="CH38" s="1263"/>
      <c r="CI38" s="1263"/>
      <c r="CJ38" s="1263"/>
      <c r="CK38" s="1263"/>
      <c r="CL38" s="1263"/>
    </row>
    <row r="39" spans="1:90">
      <c r="A39" s="1264">
        <f t="shared" si="0"/>
        <v>38</v>
      </c>
      <c r="B39" s="1271" t="s">
        <v>389</v>
      </c>
      <c r="C39" s="1263" t="s">
        <v>223</v>
      </c>
      <c r="D39" s="1263" t="s">
        <v>362</v>
      </c>
      <c r="E39" s="1266">
        <v>95</v>
      </c>
      <c r="F39" s="1266">
        <v>101.46</v>
      </c>
      <c r="G39" s="1266">
        <v>3448</v>
      </c>
      <c r="H39" s="1266">
        <v>1851</v>
      </c>
      <c r="I39" s="1266">
        <v>4381.3</v>
      </c>
      <c r="J39" s="1266">
        <v>5.35</v>
      </c>
      <c r="K39" s="1266">
        <v>1923.7</v>
      </c>
      <c r="L39" s="1267">
        <v>-22</v>
      </c>
      <c r="M39" s="1266">
        <v>15.2</v>
      </c>
      <c r="N39" s="1263" t="s">
        <v>390</v>
      </c>
      <c r="O39" s="1263" t="s">
        <v>225</v>
      </c>
      <c r="P39" s="1263" t="s">
        <v>364</v>
      </c>
      <c r="Q39" s="1268">
        <v>3815.1039999999998</v>
      </c>
      <c r="R39" s="1268">
        <v>1.853</v>
      </c>
      <c r="S39" s="1269">
        <v>44684</v>
      </c>
      <c r="T39" s="1269">
        <v>44689</v>
      </c>
      <c r="U39" s="1270">
        <v>20</v>
      </c>
      <c r="V39" s="1263" t="s">
        <v>5</v>
      </c>
      <c r="W39" s="1270">
        <v>280</v>
      </c>
      <c r="X39" s="1263" t="s">
        <v>5</v>
      </c>
      <c r="Y39" s="1270">
        <v>0</v>
      </c>
      <c r="Z39" s="1263" t="s">
        <v>306</v>
      </c>
      <c r="AA39" s="1270">
        <v>486</v>
      </c>
      <c r="AB39" s="1270">
        <v>486</v>
      </c>
      <c r="AC39" s="1270">
        <v>525</v>
      </c>
      <c r="AD39" s="1270">
        <v>525</v>
      </c>
      <c r="AE39" s="1270">
        <v>507</v>
      </c>
      <c r="AF39" s="1270">
        <v>513.5</v>
      </c>
      <c r="AG39" s="1270">
        <v>322</v>
      </c>
      <c r="AH39" s="1270">
        <v>322</v>
      </c>
      <c r="AI39" s="1270">
        <v>360</v>
      </c>
      <c r="AJ39" s="1270">
        <v>360</v>
      </c>
      <c r="AK39" s="1270">
        <v>334</v>
      </c>
      <c r="AL39" s="1270">
        <v>334</v>
      </c>
      <c r="AM39" s="1270"/>
      <c r="AN39" s="1263"/>
      <c r="AO39" s="1263"/>
      <c r="AP39" s="1263" t="str">
        <f ca="1"/>
        <v>STRAMI</v>
      </c>
      <c r="AQ39" s="1263"/>
      <c r="AR39" s="1263"/>
      <c r="AS39" s="1263"/>
      <c r="AT39" s="1263"/>
      <c r="AU39" s="1263"/>
      <c r="AV39" s="1263"/>
      <c r="AW39" s="1263"/>
      <c r="AX39" s="1263"/>
      <c r="AY39" s="1263"/>
      <c r="AZ39" s="1263"/>
      <c r="BA39" s="1263"/>
      <c r="BB39" s="1263"/>
      <c r="BC39" s="1263"/>
      <c r="BD39" s="1263"/>
      <c r="BE39" s="1263"/>
      <c r="BF39" s="1263"/>
      <c r="BG39" s="1263"/>
      <c r="BH39" s="1263"/>
      <c r="BI39" s="1263"/>
      <c r="BJ39" s="1263"/>
      <c r="BK39" s="1263"/>
      <c r="BL39" s="1263"/>
      <c r="BM39" s="1263"/>
      <c r="BN39" s="1263"/>
      <c r="BO39" s="1263"/>
      <c r="BP39" s="1263"/>
      <c r="BQ39" s="1263"/>
      <c r="BR39" s="1263"/>
      <c r="BS39" s="1263"/>
      <c r="BT39" s="1263"/>
      <c r="BU39" s="1263"/>
      <c r="BV39" s="1263"/>
      <c r="BW39" s="1263"/>
      <c r="BX39" s="1263"/>
      <c r="BY39" s="1263"/>
      <c r="BZ39" s="1263"/>
      <c r="CA39" s="1263"/>
      <c r="CB39" s="1263"/>
      <c r="CC39" s="1263"/>
      <c r="CD39" s="1263"/>
      <c r="CE39" s="1263"/>
      <c r="CF39" s="1263"/>
      <c r="CG39" s="1263"/>
      <c r="CH39" s="1263"/>
      <c r="CI39" s="1263"/>
      <c r="CJ39" s="1263"/>
      <c r="CK39" s="1263"/>
      <c r="CL39" s="1263"/>
    </row>
    <row r="40" spans="1:90">
      <c r="A40" s="1264">
        <f t="shared" si="0"/>
        <v>39</v>
      </c>
      <c r="B40" s="1271" t="s">
        <v>391</v>
      </c>
      <c r="C40" s="1263" t="s">
        <v>392</v>
      </c>
      <c r="D40" s="1263" t="s">
        <v>393</v>
      </c>
      <c r="E40" s="1266">
        <v>84.99</v>
      </c>
      <c r="F40" s="1266">
        <v>89.98</v>
      </c>
      <c r="G40" s="1266">
        <v>2984</v>
      </c>
      <c r="H40" s="1266">
        <v>1769</v>
      </c>
      <c r="I40" s="1266">
        <v>4164.7700000000004</v>
      </c>
      <c r="J40" s="1266">
        <v>5.0999999999999996</v>
      </c>
      <c r="K40" s="1266">
        <v>1519.43</v>
      </c>
      <c r="L40" s="1267">
        <v>95</v>
      </c>
      <c r="M40" s="1266">
        <v>15.2</v>
      </c>
      <c r="N40" s="1263" t="s">
        <v>394</v>
      </c>
      <c r="O40" s="1263" t="s">
        <v>225</v>
      </c>
      <c r="P40" s="1263" t="s">
        <v>364</v>
      </c>
      <c r="Q40" s="1268">
        <v>3918.7860000000001</v>
      </c>
      <c r="R40" s="1268">
        <v>1.2729999999999999</v>
      </c>
      <c r="S40" s="1269">
        <v>44671</v>
      </c>
      <c r="T40" s="1269">
        <v>44681</v>
      </c>
      <c r="U40" s="1270">
        <v>128</v>
      </c>
      <c r="V40" s="1263" t="s">
        <v>5</v>
      </c>
      <c r="W40" s="1270">
        <v>540</v>
      </c>
      <c r="X40" s="1263" t="s">
        <v>226</v>
      </c>
      <c r="Y40" s="1270">
        <v>124</v>
      </c>
      <c r="Z40" s="1263" t="s">
        <v>5</v>
      </c>
      <c r="AA40" s="1270">
        <v>500</v>
      </c>
      <c r="AB40" s="1270">
        <v>500</v>
      </c>
      <c r="AC40" s="1270">
        <v>512</v>
      </c>
      <c r="AD40" s="1270">
        <v>512</v>
      </c>
      <c r="AE40" s="1270">
        <v>509</v>
      </c>
      <c r="AF40" s="1270">
        <v>509</v>
      </c>
      <c r="AG40" s="1270">
        <v>240</v>
      </c>
      <c r="AH40" s="1270">
        <v>240</v>
      </c>
      <c r="AI40" s="1270">
        <v>325</v>
      </c>
      <c r="AJ40" s="1270">
        <v>325</v>
      </c>
      <c r="AK40" s="1270">
        <v>291</v>
      </c>
      <c r="AL40" s="1270">
        <v>291</v>
      </c>
      <c r="AM40" s="1270"/>
      <c r="AN40" s="1263"/>
      <c r="AO40" s="1263"/>
      <c r="AP40" s="1263" t="str">
        <f ca="1"/>
        <v>KRISTIN</v>
      </c>
      <c r="AQ40" s="1263"/>
      <c r="AR40" s="1263"/>
      <c r="AS40" s="1263"/>
      <c r="AT40" s="1263"/>
      <c r="AU40" s="1263"/>
      <c r="AV40" s="1263"/>
      <c r="AW40" s="1263"/>
      <c r="AX40" s="1263"/>
      <c r="AY40" s="1263"/>
      <c r="AZ40" s="1263"/>
      <c r="BA40" s="1263"/>
      <c r="BB40" s="1263"/>
      <c r="BC40" s="1263"/>
      <c r="BD40" s="1263"/>
      <c r="BE40" s="1263"/>
      <c r="BF40" s="1263"/>
      <c r="BG40" s="1263"/>
      <c r="BH40" s="1263"/>
      <c r="BI40" s="1263"/>
      <c r="BJ40" s="1263"/>
      <c r="BK40" s="1263"/>
      <c r="BL40" s="1263"/>
      <c r="BM40" s="1263"/>
      <c r="BN40" s="1263"/>
      <c r="BO40" s="1263"/>
      <c r="BP40" s="1263"/>
      <c r="BQ40" s="1263"/>
      <c r="BR40" s="1263"/>
      <c r="BS40" s="1263"/>
      <c r="BT40" s="1263"/>
      <c r="BU40" s="1263"/>
      <c r="BV40" s="1263"/>
      <c r="BW40" s="1263"/>
      <c r="BX40" s="1263"/>
      <c r="BY40" s="1263"/>
      <c r="BZ40" s="1263"/>
      <c r="CA40" s="1263"/>
      <c r="CB40" s="1263"/>
      <c r="CC40" s="1263"/>
      <c r="CD40" s="1263"/>
      <c r="CE40" s="1263"/>
      <c r="CF40" s="1263"/>
      <c r="CG40" s="1263"/>
      <c r="CH40" s="1263"/>
      <c r="CI40" s="1263"/>
      <c r="CJ40" s="1263"/>
      <c r="CK40" s="1263"/>
      <c r="CL40" s="1263"/>
    </row>
    <row r="41" spans="1:90">
      <c r="A41" s="1264">
        <f t="shared" si="0"/>
        <v>40</v>
      </c>
      <c r="B41" s="1271" t="s">
        <v>395</v>
      </c>
      <c r="C41" s="1263" t="s">
        <v>374</v>
      </c>
      <c r="D41" s="1263" t="s">
        <v>374</v>
      </c>
      <c r="E41" s="1266">
        <v>84.82</v>
      </c>
      <c r="F41" s="1266">
        <v>93.3</v>
      </c>
      <c r="G41" s="1266">
        <v>2979</v>
      </c>
      <c r="H41" s="1266">
        <v>1506</v>
      </c>
      <c r="I41" s="1266">
        <v>4520.2</v>
      </c>
      <c r="J41" s="1266">
        <v>6.34</v>
      </c>
      <c r="K41" s="1266">
        <v>1604.22</v>
      </c>
      <c r="L41" s="1267">
        <v>66</v>
      </c>
      <c r="M41" s="1266">
        <v>14.7</v>
      </c>
      <c r="N41" s="1263" t="s">
        <v>363</v>
      </c>
      <c r="O41" s="1263" t="s">
        <v>225</v>
      </c>
      <c r="P41" s="1263" t="s">
        <v>364</v>
      </c>
      <c r="Q41" s="1268">
        <v>3123.7069999999999</v>
      </c>
      <c r="R41" s="1268">
        <v>1.5</v>
      </c>
      <c r="S41" s="1269">
        <v>44668</v>
      </c>
      <c r="T41" s="1269">
        <v>44670</v>
      </c>
      <c r="U41" s="1270">
        <v>0</v>
      </c>
      <c r="V41" s="1263" t="s">
        <v>306</v>
      </c>
      <c r="W41" s="1270">
        <v>300</v>
      </c>
      <c r="X41" s="1263" t="s">
        <v>5</v>
      </c>
      <c r="Y41" s="1270">
        <v>0</v>
      </c>
      <c r="Z41" s="1263" t="s">
        <v>306</v>
      </c>
      <c r="AA41" s="1270">
        <v>535</v>
      </c>
      <c r="AB41" s="1270">
        <v>535</v>
      </c>
      <c r="AC41" s="1270">
        <v>580</v>
      </c>
      <c r="AD41" s="1270">
        <v>580</v>
      </c>
      <c r="AE41" s="1270">
        <v>562</v>
      </c>
      <c r="AF41" s="1270">
        <v>571</v>
      </c>
      <c r="AG41" s="1270">
        <v>208</v>
      </c>
      <c r="AH41" s="1270">
        <v>209</v>
      </c>
      <c r="AI41" s="1270">
        <v>386</v>
      </c>
      <c r="AJ41" s="1270">
        <v>386</v>
      </c>
      <c r="AK41" s="1270">
        <v>297</v>
      </c>
      <c r="AL41" s="1270">
        <v>297</v>
      </c>
      <c r="AM41" s="1270"/>
      <c r="AN41" s="1263"/>
      <c r="AO41" s="1263"/>
      <c r="AP41" s="1263" t="str">
        <f ca="1"/>
        <v>ALSTERDIEP</v>
      </c>
      <c r="AQ41" s="1263"/>
      <c r="AR41" s="1263"/>
      <c r="AS41" s="1263"/>
      <c r="AT41" s="1263"/>
      <c r="AU41" s="1263"/>
      <c r="AV41" s="1263"/>
      <c r="AW41" s="1263"/>
      <c r="AX41" s="1263"/>
      <c r="AY41" s="1263"/>
      <c r="AZ41" s="1263"/>
      <c r="BA41" s="1263"/>
      <c r="BB41" s="1263"/>
      <c r="BC41" s="1263"/>
      <c r="BD41" s="1263"/>
      <c r="BE41" s="1263"/>
      <c r="BF41" s="1263"/>
      <c r="BG41" s="1263"/>
      <c r="BH41" s="1263"/>
      <c r="BI41" s="1263"/>
      <c r="BJ41" s="1263"/>
      <c r="BK41" s="1263"/>
      <c r="BL41" s="1263"/>
      <c r="BM41" s="1263"/>
      <c r="BN41" s="1263"/>
      <c r="BO41" s="1263"/>
      <c r="BP41" s="1263"/>
      <c r="BQ41" s="1263"/>
      <c r="BR41" s="1263"/>
      <c r="BS41" s="1263"/>
      <c r="BT41" s="1263"/>
      <c r="BU41" s="1263"/>
      <c r="BV41" s="1263"/>
      <c r="BW41" s="1263"/>
      <c r="BX41" s="1263"/>
      <c r="BY41" s="1263"/>
      <c r="BZ41" s="1263"/>
      <c r="CA41" s="1263"/>
      <c r="CB41" s="1263"/>
      <c r="CC41" s="1263"/>
      <c r="CD41" s="1263"/>
      <c r="CE41" s="1263"/>
      <c r="CF41" s="1263"/>
      <c r="CG41" s="1263"/>
      <c r="CH41" s="1263"/>
      <c r="CI41" s="1263"/>
      <c r="CJ41" s="1263"/>
      <c r="CK41" s="1263"/>
      <c r="CL41" s="1263"/>
    </row>
    <row r="42" spans="1:90">
      <c r="A42" s="1264">
        <f t="shared" si="0"/>
        <v>41</v>
      </c>
      <c r="B42" s="1271" t="s">
        <v>396</v>
      </c>
      <c r="C42" s="1263" t="s">
        <v>378</v>
      </c>
      <c r="D42" s="1263" t="s">
        <v>379</v>
      </c>
      <c r="E42" s="1266">
        <v>111.85</v>
      </c>
      <c r="F42" s="1266">
        <v>118.55</v>
      </c>
      <c r="G42" s="1266">
        <v>4990</v>
      </c>
      <c r="H42" s="1266">
        <v>2648</v>
      </c>
      <c r="I42" s="1266">
        <v>7778</v>
      </c>
      <c r="J42" s="1266">
        <v>7.05</v>
      </c>
      <c r="K42" s="1266">
        <v>2466</v>
      </c>
      <c r="L42" s="1267">
        <v>65</v>
      </c>
      <c r="M42" s="1266">
        <v>15.2</v>
      </c>
      <c r="N42" s="1263" t="s">
        <v>390</v>
      </c>
      <c r="O42" s="1263" t="s">
        <v>225</v>
      </c>
      <c r="P42" s="1263" t="s">
        <v>364</v>
      </c>
      <c r="Q42" s="1268">
        <v>5450.3990000000003</v>
      </c>
      <c r="R42" s="1268">
        <v>1.41</v>
      </c>
      <c r="S42" s="1269">
        <v>44251</v>
      </c>
      <c r="T42" s="1269">
        <v>44253</v>
      </c>
      <c r="U42" s="1270">
        <v>115</v>
      </c>
      <c r="V42" s="1263" t="s">
        <v>5</v>
      </c>
      <c r="W42" s="1270">
        <v>195</v>
      </c>
      <c r="X42" s="1263" t="s">
        <v>5</v>
      </c>
      <c r="Y42" s="1270">
        <v>17.5</v>
      </c>
      <c r="Z42" s="1263" t="s">
        <v>5</v>
      </c>
      <c r="AA42" s="1270">
        <v>657</v>
      </c>
      <c r="AB42" s="1270">
        <v>653</v>
      </c>
      <c r="AC42" s="1270">
        <v>706</v>
      </c>
      <c r="AD42" s="1270">
        <v>706</v>
      </c>
      <c r="AE42" s="1270">
        <v>691</v>
      </c>
      <c r="AF42" s="1270">
        <v>669</v>
      </c>
      <c r="AG42" s="1270">
        <v>364</v>
      </c>
      <c r="AH42" s="1270">
        <v>365</v>
      </c>
      <c r="AI42" s="1270">
        <v>475</v>
      </c>
      <c r="AJ42" s="1270">
        <v>475</v>
      </c>
      <c r="AK42" s="1270">
        <v>415</v>
      </c>
      <c r="AL42" s="1270">
        <v>415</v>
      </c>
      <c r="AM42" s="1270"/>
      <c r="AN42" s="1263"/>
      <c r="AO42" s="1263"/>
      <c r="AP42" s="1263" t="str">
        <f ca="1"/>
        <v>ORKO</v>
      </c>
      <c r="AQ42" s="1263"/>
      <c r="AR42" s="1263"/>
      <c r="AS42" s="1263"/>
      <c r="AT42" s="1263"/>
      <c r="AU42" s="1263"/>
      <c r="AV42" s="1263"/>
      <c r="AW42" s="1263"/>
      <c r="AX42" s="1263"/>
      <c r="AY42" s="1263"/>
      <c r="AZ42" s="1263"/>
      <c r="BA42" s="1263"/>
      <c r="BB42" s="1263"/>
      <c r="BC42" s="1263"/>
      <c r="BD42" s="1263"/>
      <c r="BE42" s="1263"/>
      <c r="BF42" s="1263"/>
      <c r="BG42" s="1263"/>
      <c r="BH42" s="1263"/>
      <c r="BI42" s="1263"/>
      <c r="BJ42" s="1263"/>
      <c r="BK42" s="1263"/>
      <c r="BL42" s="1263"/>
      <c r="BM42" s="1263"/>
      <c r="BN42" s="1263"/>
      <c r="BO42" s="1263"/>
      <c r="BP42" s="1263"/>
      <c r="BQ42" s="1263"/>
      <c r="BR42" s="1263"/>
      <c r="BS42" s="1263"/>
      <c r="BT42" s="1263"/>
      <c r="BU42" s="1263"/>
      <c r="BV42" s="1263"/>
      <c r="BW42" s="1263"/>
      <c r="BX42" s="1263"/>
      <c r="BY42" s="1263"/>
      <c r="BZ42" s="1263"/>
      <c r="CA42" s="1263"/>
      <c r="CB42" s="1263"/>
      <c r="CC42" s="1263"/>
      <c r="CD42" s="1263"/>
      <c r="CE42" s="1263"/>
      <c r="CF42" s="1263"/>
      <c r="CG42" s="1263"/>
      <c r="CH42" s="1263"/>
      <c r="CI42" s="1263"/>
      <c r="CJ42" s="1263"/>
      <c r="CK42" s="1263"/>
      <c r="CL42" s="1263"/>
    </row>
    <row r="43" spans="1:90">
      <c r="A43" s="1264">
        <f t="shared" si="0"/>
        <v>42</v>
      </c>
      <c r="B43" s="1271" t="s">
        <v>397</v>
      </c>
      <c r="C43" s="1263" t="s">
        <v>223</v>
      </c>
      <c r="D43" s="1263" t="s">
        <v>362</v>
      </c>
      <c r="E43" s="1266">
        <v>84.98</v>
      </c>
      <c r="F43" s="1266">
        <v>89.97</v>
      </c>
      <c r="G43" s="1266">
        <v>3845</v>
      </c>
      <c r="H43" s="1266">
        <v>1590</v>
      </c>
      <c r="I43" s="1266">
        <v>5215</v>
      </c>
      <c r="J43" s="1266">
        <v>6.1319999999999997</v>
      </c>
      <c r="K43" s="1266">
        <v>1167</v>
      </c>
      <c r="L43" s="1267">
        <v>65</v>
      </c>
      <c r="M43" s="1266">
        <v>15.4</v>
      </c>
      <c r="N43" s="1263" t="s">
        <v>398</v>
      </c>
      <c r="O43" s="1263" t="s">
        <v>225</v>
      </c>
      <c r="P43" s="1263" t="s">
        <v>364</v>
      </c>
      <c r="Q43" s="1268">
        <v>2760.83</v>
      </c>
      <c r="R43" s="1268">
        <v>1.89</v>
      </c>
      <c r="S43" s="1269">
        <v>44670</v>
      </c>
      <c r="T43" s="1269">
        <v>44307</v>
      </c>
      <c r="U43" s="1270">
        <v>506.4</v>
      </c>
      <c r="V43" s="1263" t="s">
        <v>5</v>
      </c>
      <c r="W43" s="1270">
        <v>180</v>
      </c>
      <c r="X43" s="1263" t="s">
        <v>5</v>
      </c>
      <c r="Y43" s="1270">
        <v>49.7</v>
      </c>
      <c r="Z43" s="1263" t="s">
        <v>5</v>
      </c>
      <c r="AA43" s="1270">
        <v>451</v>
      </c>
      <c r="AB43" s="1270">
        <v>451</v>
      </c>
      <c r="AC43" s="1270">
        <v>486</v>
      </c>
      <c r="AD43" s="1270">
        <v>486</v>
      </c>
      <c r="AE43" s="1270">
        <v>462</v>
      </c>
      <c r="AF43" s="1270">
        <v>473</v>
      </c>
      <c r="AG43" s="1270">
        <v>287</v>
      </c>
      <c r="AH43" s="1270">
        <v>287</v>
      </c>
      <c r="AI43" s="1270">
        <v>325</v>
      </c>
      <c r="AJ43" s="1270">
        <v>325</v>
      </c>
      <c r="AK43" s="1270">
        <v>317</v>
      </c>
      <c r="AL43" s="1270">
        <v>324</v>
      </c>
      <c r="AM43" s="1270"/>
      <c r="AN43" s="1263"/>
      <c r="AO43" s="1263"/>
      <c r="AP43" s="1263" t="str">
        <f ca="1"/>
        <v>HERBEIRA</v>
      </c>
      <c r="AQ43" s="1263"/>
      <c r="AR43" s="1263"/>
      <c r="AS43" s="1263"/>
      <c r="AT43" s="1263"/>
      <c r="AU43" s="1263"/>
      <c r="AV43" s="1263"/>
      <c r="AW43" s="1263"/>
      <c r="AX43" s="1263"/>
      <c r="AY43" s="1263"/>
      <c r="AZ43" s="1263"/>
      <c r="BA43" s="1263"/>
      <c r="BB43" s="1263"/>
      <c r="BC43" s="1263"/>
      <c r="BD43" s="1263"/>
      <c r="BE43" s="1263"/>
      <c r="BF43" s="1263"/>
      <c r="BG43" s="1263"/>
      <c r="BH43" s="1263"/>
      <c r="BI43" s="1263"/>
      <c r="BJ43" s="1263"/>
      <c r="BK43" s="1263"/>
      <c r="BL43" s="1263"/>
      <c r="BM43" s="1263"/>
      <c r="BN43" s="1263"/>
      <c r="BO43" s="1263"/>
      <c r="BP43" s="1263"/>
      <c r="BQ43" s="1263"/>
      <c r="BR43" s="1263"/>
      <c r="BS43" s="1263"/>
      <c r="BT43" s="1263"/>
      <c r="BU43" s="1263"/>
      <c r="BV43" s="1263"/>
      <c r="BW43" s="1263"/>
      <c r="BX43" s="1263"/>
      <c r="BY43" s="1263"/>
      <c r="BZ43" s="1263"/>
      <c r="CA43" s="1263"/>
      <c r="CB43" s="1263"/>
      <c r="CC43" s="1263"/>
      <c r="CD43" s="1263"/>
      <c r="CE43" s="1263"/>
      <c r="CF43" s="1263"/>
      <c r="CG43" s="1263"/>
      <c r="CH43" s="1263"/>
      <c r="CI43" s="1263"/>
      <c r="CJ43" s="1263"/>
      <c r="CK43" s="1263"/>
      <c r="CL43" s="1263"/>
    </row>
    <row r="44" spans="1:90">
      <c r="A44" s="1264">
        <f t="shared" si="0"/>
        <v>43</v>
      </c>
      <c r="B44" s="1271" t="s">
        <v>399</v>
      </c>
      <c r="C44" s="1263" t="s">
        <v>400</v>
      </c>
      <c r="D44" s="1263" t="s">
        <v>401</v>
      </c>
      <c r="E44" s="1263">
        <v>103.9</v>
      </c>
      <c r="F44" s="1263">
        <v>108.2</v>
      </c>
      <c r="G44" s="1266">
        <v>5581</v>
      </c>
      <c r="H44" s="1266">
        <v>2940</v>
      </c>
      <c r="I44" s="1263">
        <v>8147.74</v>
      </c>
      <c r="J44" s="1266">
        <v>7.0069999999999997</v>
      </c>
      <c r="K44" s="1263">
        <v>2831.9</v>
      </c>
      <c r="L44" s="1267">
        <v>120</v>
      </c>
      <c r="M44" s="1263">
        <v>18.2</v>
      </c>
      <c r="N44" s="1263" t="s">
        <v>371</v>
      </c>
      <c r="O44" s="1263" t="s">
        <v>225</v>
      </c>
      <c r="P44" s="1263" t="s">
        <v>364</v>
      </c>
      <c r="Q44" s="1268">
        <v>6184.2619999999997</v>
      </c>
      <c r="R44" s="1268">
        <v>1.0980000000000001</v>
      </c>
      <c r="S44" s="1269">
        <v>44658</v>
      </c>
      <c r="T44" s="1269">
        <v>44664</v>
      </c>
      <c r="U44" s="1270">
        <v>160</v>
      </c>
      <c r="V44" s="1263" t="s">
        <v>5</v>
      </c>
      <c r="W44" s="1270">
        <v>55</v>
      </c>
      <c r="X44" s="1263" t="s">
        <v>226</v>
      </c>
      <c r="Y44" s="1270">
        <v>165</v>
      </c>
      <c r="Z44" s="1263" t="s">
        <v>5</v>
      </c>
      <c r="AA44" s="1270">
        <v>661</v>
      </c>
      <c r="AB44" s="1270">
        <v>661</v>
      </c>
      <c r="AC44" s="1270">
        <v>709</v>
      </c>
      <c r="AD44" s="1270">
        <v>709</v>
      </c>
      <c r="AE44" s="1270">
        <v>684</v>
      </c>
      <c r="AF44" s="1270">
        <v>684</v>
      </c>
      <c r="AG44" s="1270">
        <v>220</v>
      </c>
      <c r="AH44" s="1270">
        <v>220</v>
      </c>
      <c r="AI44" s="1270">
        <v>440</v>
      </c>
      <c r="AJ44" s="1270">
        <v>440</v>
      </c>
      <c r="AK44" s="1270">
        <v>330</v>
      </c>
      <c r="AL44" s="1270">
        <v>330</v>
      </c>
      <c r="AM44" s="1270"/>
      <c r="AN44" s="1263"/>
      <c r="AO44" s="1263"/>
      <c r="AP44" s="1263" t="str">
        <f ca="1"/>
        <v>TRIPLE S</v>
      </c>
      <c r="AQ44" s="1263"/>
      <c r="AR44" s="1263"/>
      <c r="AS44" s="1263"/>
      <c r="AT44" s="1263"/>
      <c r="AU44" s="1263"/>
      <c r="AV44" s="1263"/>
      <c r="AW44" s="1263"/>
      <c r="AX44" s="1263"/>
      <c r="AY44" s="1263"/>
      <c r="AZ44" s="1263"/>
      <c r="BA44" s="1263"/>
      <c r="BB44" s="1263"/>
      <c r="BC44" s="1263"/>
      <c r="BD44" s="1263"/>
      <c r="BE44" s="1263"/>
      <c r="BF44" s="1263"/>
      <c r="BG44" s="1263"/>
      <c r="BH44" s="1263"/>
      <c r="BI44" s="1263"/>
      <c r="BJ44" s="1263"/>
      <c r="BK44" s="1263"/>
      <c r="BL44" s="1263"/>
      <c r="BM44" s="1263"/>
      <c r="BN44" s="1263"/>
      <c r="BO44" s="1263"/>
      <c r="BP44" s="1263"/>
      <c r="BQ44" s="1263"/>
      <c r="BR44" s="1263"/>
      <c r="BS44" s="1263"/>
      <c r="BT44" s="1263"/>
      <c r="BU44" s="1263"/>
      <c r="BV44" s="1263"/>
      <c r="BW44" s="1263"/>
      <c r="BX44" s="1263"/>
      <c r="BY44" s="1263"/>
      <c r="BZ44" s="1263"/>
      <c r="CA44" s="1263"/>
      <c r="CB44" s="1263"/>
      <c r="CC44" s="1263"/>
      <c r="CD44" s="1263"/>
      <c r="CE44" s="1263"/>
      <c r="CF44" s="1263"/>
      <c r="CG44" s="1263"/>
      <c r="CH44" s="1263"/>
      <c r="CI44" s="1263"/>
      <c r="CJ44" s="1263"/>
      <c r="CK44" s="1263"/>
      <c r="CL44" s="1263"/>
    </row>
    <row r="45" spans="1:90">
      <c r="A45" s="1264">
        <f t="shared" si="0"/>
        <v>44</v>
      </c>
      <c r="B45" s="1271" t="s">
        <v>402</v>
      </c>
      <c r="C45" s="1263" t="s">
        <v>300</v>
      </c>
      <c r="D45" s="1263" t="s">
        <v>403</v>
      </c>
      <c r="E45" s="1266">
        <v>103.9</v>
      </c>
      <c r="F45" s="1266">
        <v>108.2</v>
      </c>
      <c r="G45" s="1266">
        <v>5598</v>
      </c>
      <c r="H45" s="1266">
        <v>2883</v>
      </c>
      <c r="I45" s="1266">
        <v>8112.22</v>
      </c>
      <c r="J45" s="1266">
        <v>7.01</v>
      </c>
      <c r="K45" s="1266">
        <v>2872.9</v>
      </c>
      <c r="L45" s="1267">
        <v>130</v>
      </c>
      <c r="M45" s="1266">
        <v>18.2</v>
      </c>
      <c r="N45" s="1263" t="s">
        <v>404</v>
      </c>
      <c r="O45" s="1263" t="s">
        <v>225</v>
      </c>
      <c r="P45" s="1263" t="s">
        <v>364</v>
      </c>
      <c r="Q45" s="1268">
        <v>5402.1040000000003</v>
      </c>
      <c r="R45" s="1268">
        <v>2.0049999999999999</v>
      </c>
      <c r="S45" s="1269">
        <v>44382</v>
      </c>
      <c r="T45" s="1269">
        <v>44392</v>
      </c>
      <c r="U45" s="1270">
        <v>160</v>
      </c>
      <c r="V45" s="1263" t="s">
        <v>5</v>
      </c>
      <c r="W45" s="1270">
        <v>200</v>
      </c>
      <c r="X45" s="1263" t="s">
        <v>5</v>
      </c>
      <c r="Y45" s="1270">
        <v>165</v>
      </c>
      <c r="Z45" s="1263" t="s">
        <v>5</v>
      </c>
      <c r="AA45" s="1270">
        <v>521</v>
      </c>
      <c r="AB45" s="1270">
        <v>521</v>
      </c>
      <c r="AC45" s="1270">
        <v>626</v>
      </c>
      <c r="AD45" s="1270">
        <v>626</v>
      </c>
      <c r="AE45" s="1270">
        <v>581</v>
      </c>
      <c r="AF45" s="1270">
        <v>569</v>
      </c>
      <c r="AG45" s="1270">
        <v>329</v>
      </c>
      <c r="AH45" s="1270">
        <v>329</v>
      </c>
      <c r="AI45" s="1270">
        <v>428</v>
      </c>
      <c r="AJ45" s="1270">
        <v>428</v>
      </c>
      <c r="AK45" s="1270">
        <v>380</v>
      </c>
      <c r="AL45" s="1270">
        <v>381</v>
      </c>
      <c r="AM45" s="1270"/>
      <c r="AN45" s="1263"/>
      <c r="AO45" s="1263"/>
      <c r="AP45" s="1263" t="str">
        <f ca="1"/>
        <v>WOLF</v>
      </c>
      <c r="AQ45" s="1263"/>
      <c r="AR45" s="1263"/>
      <c r="AS45" s="1263"/>
      <c r="AT45" s="1263"/>
      <c r="AU45" s="1263"/>
      <c r="AV45" s="1263"/>
      <c r="AW45" s="1263"/>
      <c r="AX45" s="1263"/>
      <c r="AY45" s="1263"/>
      <c r="AZ45" s="1263"/>
      <c r="BA45" s="1263"/>
      <c r="BB45" s="1263"/>
      <c r="BC45" s="1263"/>
      <c r="BD45" s="1263"/>
      <c r="BE45" s="1263"/>
      <c r="BF45" s="1263"/>
      <c r="BG45" s="1263"/>
      <c r="BH45" s="1263"/>
      <c r="BI45" s="1263"/>
      <c r="BJ45" s="1263"/>
      <c r="BK45" s="1263"/>
      <c r="BL45" s="1263"/>
      <c r="BM45" s="1263"/>
      <c r="BN45" s="1263"/>
      <c r="BO45" s="1263"/>
      <c r="BP45" s="1263"/>
      <c r="BQ45" s="1263"/>
      <c r="BR45" s="1263"/>
      <c r="BS45" s="1263"/>
      <c r="BT45" s="1263"/>
      <c r="BU45" s="1263"/>
      <c r="BV45" s="1263"/>
      <c r="BW45" s="1263"/>
      <c r="BX45" s="1263"/>
      <c r="BY45" s="1263"/>
      <c r="BZ45" s="1263"/>
      <c r="CA45" s="1263"/>
      <c r="CB45" s="1263"/>
      <c r="CC45" s="1263"/>
      <c r="CD45" s="1263"/>
      <c r="CE45" s="1263"/>
      <c r="CF45" s="1263"/>
      <c r="CG45" s="1263"/>
      <c r="CH45" s="1263"/>
      <c r="CI45" s="1263"/>
      <c r="CJ45" s="1263"/>
      <c r="CK45" s="1263"/>
      <c r="CL45" s="1263"/>
    </row>
    <row r="46" spans="1:90">
      <c r="A46" s="1264">
        <f t="shared" si="0"/>
        <v>45</v>
      </c>
      <c r="B46" s="1271" t="s">
        <v>405</v>
      </c>
      <c r="C46" s="1263" t="s">
        <v>406</v>
      </c>
      <c r="D46" s="1263" t="s">
        <v>407</v>
      </c>
      <c r="E46" s="1266">
        <v>84.98</v>
      </c>
      <c r="F46" s="1266">
        <v>89.99</v>
      </c>
      <c r="G46" s="1266">
        <v>2999</v>
      </c>
      <c r="H46" s="1266">
        <v>1639</v>
      </c>
      <c r="I46" s="1266">
        <v>4960</v>
      </c>
      <c r="J46" s="1266">
        <v>6.1</v>
      </c>
      <c r="K46" s="1266">
        <v>1458</v>
      </c>
      <c r="L46" s="1267">
        <v>77</v>
      </c>
      <c r="M46" s="1266">
        <v>14.1</v>
      </c>
      <c r="N46" s="1263" t="s">
        <v>394</v>
      </c>
      <c r="O46" s="1263" t="s">
        <v>225</v>
      </c>
      <c r="P46" s="1263" t="s">
        <v>364</v>
      </c>
      <c r="Q46" s="1268">
        <v>3664.8449999999998</v>
      </c>
      <c r="R46" s="1268">
        <v>1.52</v>
      </c>
      <c r="S46" s="1269">
        <v>44654</v>
      </c>
      <c r="T46" s="1269">
        <v>44660</v>
      </c>
      <c r="U46" s="1270">
        <v>0</v>
      </c>
      <c r="V46" s="1263" t="s">
        <v>306</v>
      </c>
      <c r="W46" s="1270">
        <v>190</v>
      </c>
      <c r="X46" s="1263" t="s">
        <v>5</v>
      </c>
      <c r="Y46" s="1270">
        <v>0</v>
      </c>
      <c r="Z46" s="1263" t="s">
        <v>306</v>
      </c>
      <c r="AA46" s="1270">
        <v>505</v>
      </c>
      <c r="AB46" s="1270">
        <v>505</v>
      </c>
      <c r="AC46" s="1270">
        <v>550</v>
      </c>
      <c r="AD46" s="1270">
        <v>550</v>
      </c>
      <c r="AE46" s="1270">
        <v>529</v>
      </c>
      <c r="AF46" s="1270">
        <v>529</v>
      </c>
      <c r="AG46" s="1270">
        <v>313</v>
      </c>
      <c r="AH46" s="1270">
        <v>313</v>
      </c>
      <c r="AI46" s="1270">
        <v>344</v>
      </c>
      <c r="AJ46" s="1270">
        <v>344</v>
      </c>
      <c r="AK46" s="1270">
        <v>335</v>
      </c>
      <c r="AL46" s="1270">
        <v>314</v>
      </c>
      <c r="AM46" s="1270"/>
      <c r="AN46" s="1263"/>
      <c r="AO46" s="1263"/>
      <c r="AP46" s="1263" t="str">
        <f ca="1"/>
        <v>LENNEBORG</v>
      </c>
      <c r="AQ46" s="1263"/>
      <c r="AR46" s="1263"/>
      <c r="AS46" s="1263"/>
      <c r="AT46" s="1263"/>
      <c r="AU46" s="1263"/>
      <c r="AV46" s="1263"/>
      <c r="AW46" s="1263"/>
      <c r="AX46" s="1263"/>
      <c r="AY46" s="1263"/>
      <c r="AZ46" s="1263"/>
      <c r="BA46" s="1263"/>
      <c r="BB46" s="1263"/>
      <c r="BC46" s="1263"/>
      <c r="BD46" s="1263"/>
      <c r="BE46" s="1263"/>
      <c r="BF46" s="1263"/>
      <c r="BG46" s="1263"/>
      <c r="BH46" s="1263"/>
      <c r="BI46" s="1263"/>
      <c r="BJ46" s="1263"/>
      <c r="BK46" s="1263"/>
      <c r="BL46" s="1263"/>
      <c r="BM46" s="1263"/>
      <c r="BN46" s="1263"/>
      <c r="BO46" s="1263"/>
      <c r="BP46" s="1263"/>
      <c r="BQ46" s="1263"/>
      <c r="BR46" s="1263"/>
      <c r="BS46" s="1263"/>
      <c r="BT46" s="1263"/>
      <c r="BU46" s="1263"/>
      <c r="BV46" s="1263"/>
      <c r="BW46" s="1263"/>
      <c r="BX46" s="1263"/>
      <c r="BY46" s="1263"/>
      <c r="BZ46" s="1263"/>
      <c r="CA46" s="1263"/>
      <c r="CB46" s="1263"/>
      <c r="CC46" s="1263"/>
      <c r="CD46" s="1263"/>
      <c r="CE46" s="1263"/>
      <c r="CF46" s="1263"/>
      <c r="CG46" s="1263"/>
      <c r="CH46" s="1263"/>
      <c r="CI46" s="1263"/>
      <c r="CJ46" s="1263"/>
      <c r="CK46" s="1263"/>
      <c r="CL46" s="1263"/>
    </row>
    <row r="47" spans="1:90">
      <c r="A47" s="1264">
        <f t="shared" si="0"/>
        <v>46</v>
      </c>
      <c r="B47" s="1271" t="s">
        <v>408</v>
      </c>
      <c r="C47" s="1263" t="s">
        <v>406</v>
      </c>
      <c r="D47" s="1263" t="s">
        <v>407</v>
      </c>
      <c r="E47" s="1266">
        <v>94.74</v>
      </c>
      <c r="F47" s="1266">
        <v>99.8</v>
      </c>
      <c r="G47" s="1266">
        <v>3442</v>
      </c>
      <c r="H47" s="1266">
        <v>1903</v>
      </c>
      <c r="I47" s="1266">
        <v>5622</v>
      </c>
      <c r="J47" s="1266">
        <v>6.12</v>
      </c>
      <c r="K47" s="1266">
        <v>1682</v>
      </c>
      <c r="L47" s="1267">
        <v>-20</v>
      </c>
      <c r="M47" s="1266">
        <v>14</v>
      </c>
      <c r="N47" s="1263" t="s">
        <v>390</v>
      </c>
      <c r="O47" s="1263" t="s">
        <v>225</v>
      </c>
      <c r="P47" s="1263" t="s">
        <v>364</v>
      </c>
      <c r="Q47" s="1268">
        <v>4103.4589999999998</v>
      </c>
      <c r="R47" s="1268">
        <v>1.042</v>
      </c>
      <c r="S47" s="1269">
        <v>44651</v>
      </c>
      <c r="T47" s="1269">
        <v>44656</v>
      </c>
      <c r="U47" s="1270">
        <v>19.2</v>
      </c>
      <c r="V47" s="1263" t="s">
        <v>5</v>
      </c>
      <c r="W47" s="1270">
        <v>182.5</v>
      </c>
      <c r="X47" s="1263" t="s">
        <v>5</v>
      </c>
      <c r="Y47" s="1270">
        <v>0</v>
      </c>
      <c r="Z47" s="1263" t="s">
        <v>306</v>
      </c>
      <c r="AA47" s="1270">
        <v>495</v>
      </c>
      <c r="AB47" s="1270">
        <v>495</v>
      </c>
      <c r="AC47" s="1270">
        <v>545</v>
      </c>
      <c r="AD47" s="1270">
        <v>545</v>
      </c>
      <c r="AE47" s="1270">
        <v>537.4</v>
      </c>
      <c r="AF47" s="1270">
        <v>507.4</v>
      </c>
      <c r="AG47" s="1270">
        <v>344</v>
      </c>
      <c r="AH47" s="1270">
        <v>344</v>
      </c>
      <c r="AI47" s="1270">
        <v>320</v>
      </c>
      <c r="AJ47" s="1270">
        <v>320</v>
      </c>
      <c r="AK47" s="1270">
        <v>345</v>
      </c>
      <c r="AL47" s="1270">
        <v>320</v>
      </c>
      <c r="AM47" s="1270"/>
      <c r="AN47" s="1263"/>
      <c r="AO47" s="1263"/>
      <c r="AP47" s="1263" t="str">
        <f ca="1"/>
        <v>FRI GDANSK</v>
      </c>
      <c r="AQ47" s="1263"/>
      <c r="AR47" s="1263"/>
      <c r="AS47" s="1263"/>
      <c r="AT47" s="1263"/>
      <c r="AU47" s="1263"/>
      <c r="AV47" s="1263"/>
      <c r="AW47" s="1263"/>
      <c r="AX47" s="1263"/>
      <c r="AY47" s="1263"/>
      <c r="AZ47" s="1263"/>
      <c r="BA47" s="1263"/>
      <c r="BB47" s="1263"/>
      <c r="BC47" s="1263"/>
      <c r="BD47" s="1263"/>
      <c r="BE47" s="1263"/>
      <c r="BF47" s="1263"/>
      <c r="BG47" s="1263"/>
      <c r="BH47" s="1263"/>
      <c r="BI47" s="1263"/>
      <c r="BJ47" s="1263"/>
      <c r="BK47" s="1263"/>
      <c r="BL47" s="1263"/>
      <c r="BM47" s="1263"/>
      <c r="BN47" s="1263"/>
      <c r="BO47" s="1263"/>
      <c r="BP47" s="1263"/>
      <c r="BQ47" s="1263"/>
      <c r="BR47" s="1263"/>
      <c r="BS47" s="1263"/>
      <c r="BT47" s="1263"/>
      <c r="BU47" s="1263"/>
      <c r="BV47" s="1263"/>
      <c r="BW47" s="1263"/>
      <c r="BX47" s="1263"/>
      <c r="BY47" s="1263"/>
      <c r="BZ47" s="1263"/>
      <c r="CA47" s="1263"/>
      <c r="CB47" s="1263"/>
      <c r="CC47" s="1263"/>
      <c r="CD47" s="1263"/>
      <c r="CE47" s="1263"/>
      <c r="CF47" s="1263"/>
      <c r="CG47" s="1263"/>
      <c r="CH47" s="1263"/>
      <c r="CI47" s="1263"/>
      <c r="CJ47" s="1263"/>
      <c r="CK47" s="1263"/>
      <c r="CL47" s="1263"/>
    </row>
    <row r="48" spans="1:90">
      <c r="A48" s="1264">
        <f t="shared" si="0"/>
        <v>47</v>
      </c>
      <c r="B48" s="1271" t="s">
        <v>409</v>
      </c>
      <c r="C48" s="1263" t="s">
        <v>378</v>
      </c>
      <c r="D48" s="1263" t="s">
        <v>379</v>
      </c>
      <c r="E48" s="1266">
        <v>94.9</v>
      </c>
      <c r="F48" s="1266">
        <v>99.8</v>
      </c>
      <c r="G48" s="1266">
        <v>3778</v>
      </c>
      <c r="H48" s="1266">
        <v>1795</v>
      </c>
      <c r="I48" s="1266">
        <v>5580</v>
      </c>
      <c r="J48" s="1266">
        <v>6.5250000000000004</v>
      </c>
      <c r="K48" s="1266">
        <v>1990.4</v>
      </c>
      <c r="L48" s="1267">
        <v>75</v>
      </c>
      <c r="M48" s="1266">
        <v>14</v>
      </c>
      <c r="N48" s="1263" t="s">
        <v>386</v>
      </c>
      <c r="O48" s="1263" t="s">
        <v>225</v>
      </c>
      <c r="P48" s="1263" t="s">
        <v>364</v>
      </c>
      <c r="Q48" s="1268">
        <v>4449.3609999999999</v>
      </c>
      <c r="R48" s="1268">
        <v>1.2</v>
      </c>
      <c r="S48" s="1269">
        <v>44378</v>
      </c>
      <c r="T48" s="1269">
        <v>44382</v>
      </c>
      <c r="U48" s="1270">
        <v>40</v>
      </c>
      <c r="V48" s="1263" t="s">
        <v>5</v>
      </c>
      <c r="W48" s="1270">
        <v>180</v>
      </c>
      <c r="X48" s="1263" t="s">
        <v>5</v>
      </c>
      <c r="Y48" s="1270">
        <v>0</v>
      </c>
      <c r="Z48" s="1263" t="s">
        <v>306</v>
      </c>
      <c r="AA48" s="1270">
        <v>627</v>
      </c>
      <c r="AB48" s="1270">
        <v>627</v>
      </c>
      <c r="AC48" s="1270">
        <v>622</v>
      </c>
      <c r="AD48" s="1270">
        <v>622</v>
      </c>
      <c r="AE48" s="1270">
        <v>647</v>
      </c>
      <c r="AF48" s="1270">
        <v>647</v>
      </c>
      <c r="AG48" s="1270">
        <v>340</v>
      </c>
      <c r="AH48" s="1270">
        <v>332</v>
      </c>
      <c r="AI48" s="1270">
        <v>395</v>
      </c>
      <c r="AJ48" s="1270">
        <v>400</v>
      </c>
      <c r="AK48" s="1270">
        <v>344</v>
      </c>
      <c r="AL48" s="1270">
        <v>380</v>
      </c>
      <c r="AM48" s="1270"/>
      <c r="AN48" s="1263"/>
      <c r="AO48" s="1263"/>
      <c r="AP48" s="1263" t="str">
        <f ca="1"/>
        <v>FRI BERGEN</v>
      </c>
      <c r="AQ48" s="1263"/>
      <c r="AR48" s="1263"/>
      <c r="AS48" s="1263"/>
      <c r="AT48" s="1263"/>
      <c r="AU48" s="1263"/>
      <c r="AV48" s="1263"/>
      <c r="AW48" s="1263"/>
      <c r="AX48" s="1263"/>
      <c r="AY48" s="1263"/>
      <c r="AZ48" s="1263"/>
      <c r="BA48" s="1263"/>
      <c r="BB48" s="1263"/>
      <c r="BC48" s="1263"/>
      <c r="BD48" s="1263"/>
      <c r="BE48" s="1263"/>
      <c r="BF48" s="1263"/>
      <c r="BG48" s="1263"/>
      <c r="BH48" s="1263"/>
      <c r="BI48" s="1263"/>
      <c r="BJ48" s="1263"/>
      <c r="BK48" s="1263"/>
      <c r="BL48" s="1263"/>
      <c r="BM48" s="1263"/>
      <c r="BN48" s="1263"/>
      <c r="BO48" s="1263"/>
      <c r="BP48" s="1263"/>
      <c r="BQ48" s="1263"/>
      <c r="BR48" s="1263"/>
      <c r="BS48" s="1263"/>
      <c r="BT48" s="1263"/>
      <c r="BU48" s="1263"/>
      <c r="BV48" s="1263"/>
      <c r="BW48" s="1263"/>
      <c r="BX48" s="1263"/>
      <c r="BY48" s="1263"/>
      <c r="BZ48" s="1263"/>
      <c r="CA48" s="1263"/>
      <c r="CB48" s="1263"/>
      <c r="CC48" s="1263"/>
      <c r="CD48" s="1263"/>
      <c r="CE48" s="1263"/>
      <c r="CF48" s="1263"/>
      <c r="CG48" s="1263"/>
      <c r="CH48" s="1263"/>
      <c r="CI48" s="1263"/>
      <c r="CJ48" s="1263"/>
      <c r="CK48" s="1263"/>
      <c r="CL48" s="1263"/>
    </row>
    <row r="49" spans="1:90">
      <c r="A49" s="1264">
        <f t="shared" si="0"/>
        <v>48</v>
      </c>
      <c r="B49" s="1271" t="s">
        <v>410</v>
      </c>
      <c r="C49" s="1263" t="s">
        <v>223</v>
      </c>
      <c r="D49" s="1263" t="s">
        <v>362</v>
      </c>
      <c r="E49" s="1266">
        <v>127.2</v>
      </c>
      <c r="F49" s="1266">
        <v>134.5</v>
      </c>
      <c r="G49" s="1266">
        <v>6540</v>
      </c>
      <c r="H49" s="1266">
        <v>3464</v>
      </c>
      <c r="I49" s="1266">
        <v>9185</v>
      </c>
      <c r="J49" s="1266">
        <v>7.1349999999999998</v>
      </c>
      <c r="K49" s="1266">
        <v>3053</v>
      </c>
      <c r="L49" s="1267">
        <v>90</v>
      </c>
      <c r="M49" s="1266">
        <v>16.5</v>
      </c>
      <c r="N49" s="1263" t="s">
        <v>363</v>
      </c>
      <c r="O49" s="1263" t="s">
        <v>225</v>
      </c>
      <c r="P49" s="1263" t="s">
        <v>364</v>
      </c>
      <c r="Q49" s="1268">
        <v>6220.81</v>
      </c>
      <c r="R49" s="1268">
        <v>1.958</v>
      </c>
      <c r="S49" s="1269">
        <v>44619</v>
      </c>
      <c r="T49" s="1269">
        <v>44623</v>
      </c>
      <c r="U49" s="1270">
        <v>90</v>
      </c>
      <c r="V49" s="1263" t="s">
        <v>5</v>
      </c>
      <c r="W49" s="1270">
        <v>300</v>
      </c>
      <c r="X49" s="1263" t="s">
        <v>5</v>
      </c>
      <c r="Y49" s="1270">
        <v>70</v>
      </c>
      <c r="Z49" s="1263" t="s">
        <v>226</v>
      </c>
      <c r="AA49" s="1270">
        <v>596</v>
      </c>
      <c r="AB49" s="1270">
        <v>596</v>
      </c>
      <c r="AC49" s="1270">
        <v>633</v>
      </c>
      <c r="AD49" s="1270">
        <v>633</v>
      </c>
      <c r="AE49" s="1270">
        <v>619</v>
      </c>
      <c r="AF49" s="1270">
        <v>606</v>
      </c>
      <c r="AG49" s="1270">
        <v>358</v>
      </c>
      <c r="AH49" s="1270">
        <v>358</v>
      </c>
      <c r="AI49" s="1270">
        <v>561</v>
      </c>
      <c r="AJ49" s="1270">
        <v>561</v>
      </c>
      <c r="AK49" s="1270">
        <v>457</v>
      </c>
      <c r="AL49" s="1270">
        <v>457</v>
      </c>
      <c r="AM49" s="1270"/>
      <c r="AN49" s="1263"/>
      <c r="AO49" s="1263"/>
      <c r="AP49" s="1263" t="str">
        <f ca="1"/>
        <v>MANUELA E</v>
      </c>
      <c r="AQ49" s="1263"/>
      <c r="AR49" s="1263"/>
      <c r="AS49" s="1263"/>
      <c r="AT49" s="1263"/>
      <c r="AU49" s="1263"/>
      <c r="AV49" s="1263"/>
      <c r="AW49" s="1263"/>
      <c r="AX49" s="1263"/>
      <c r="AY49" s="1263"/>
      <c r="AZ49" s="1263"/>
      <c r="BA49" s="1263"/>
      <c r="BB49" s="1263"/>
      <c r="BC49" s="1263"/>
      <c r="BD49" s="1263"/>
      <c r="BE49" s="1263"/>
      <c r="BF49" s="1263"/>
      <c r="BG49" s="1263"/>
      <c r="BH49" s="1263"/>
      <c r="BI49" s="1263"/>
      <c r="BJ49" s="1263"/>
      <c r="BK49" s="1263"/>
      <c r="BL49" s="1263"/>
      <c r="BM49" s="1263"/>
      <c r="BN49" s="1263"/>
      <c r="BO49" s="1263"/>
      <c r="BP49" s="1263"/>
      <c r="BQ49" s="1263"/>
      <c r="BR49" s="1263"/>
      <c r="BS49" s="1263"/>
      <c r="BT49" s="1263"/>
      <c r="BU49" s="1263"/>
      <c r="BV49" s="1263"/>
      <c r="BW49" s="1263"/>
      <c r="BX49" s="1263"/>
      <c r="BY49" s="1263"/>
      <c r="BZ49" s="1263"/>
      <c r="CA49" s="1263"/>
      <c r="CB49" s="1263"/>
      <c r="CC49" s="1263"/>
      <c r="CD49" s="1263"/>
      <c r="CE49" s="1263"/>
      <c r="CF49" s="1263"/>
      <c r="CG49" s="1263"/>
      <c r="CH49" s="1263"/>
      <c r="CI49" s="1263"/>
      <c r="CJ49" s="1263"/>
      <c r="CK49" s="1263"/>
      <c r="CL49" s="1263"/>
    </row>
    <row r="50" spans="1:90">
      <c r="A50" s="1264">
        <f t="shared" si="0"/>
        <v>49</v>
      </c>
      <c r="B50" s="1271" t="s">
        <v>411</v>
      </c>
      <c r="C50" s="1263" t="s">
        <v>412</v>
      </c>
      <c r="D50" s="1263" t="s">
        <v>413</v>
      </c>
      <c r="E50" s="1266">
        <v>103.9</v>
      </c>
      <c r="F50" s="1266">
        <v>108.2</v>
      </c>
      <c r="G50" s="1266">
        <v>5629</v>
      </c>
      <c r="H50" s="1266">
        <v>2877</v>
      </c>
      <c r="I50" s="1266">
        <v>8052.98</v>
      </c>
      <c r="J50" s="1266">
        <v>7.0570000000000004</v>
      </c>
      <c r="K50" s="1266">
        <v>3016.7</v>
      </c>
      <c r="L50" s="1267">
        <v>85</v>
      </c>
      <c r="M50" s="1266">
        <v>18.2</v>
      </c>
      <c r="N50" s="1263" t="s">
        <v>386</v>
      </c>
      <c r="O50" s="1263" t="s">
        <v>225</v>
      </c>
      <c r="P50" s="1263" t="s">
        <v>364</v>
      </c>
      <c r="Q50" s="1268">
        <v>5331.0280000000002</v>
      </c>
      <c r="R50" s="1268">
        <v>1.958</v>
      </c>
      <c r="S50" s="1269">
        <v>44421</v>
      </c>
      <c r="T50" s="1269">
        <v>44432</v>
      </c>
      <c r="U50" s="1270">
        <v>0</v>
      </c>
      <c r="V50" s="1263" t="s">
        <v>306</v>
      </c>
      <c r="W50" s="1270">
        <v>0</v>
      </c>
      <c r="X50" s="1263" t="s">
        <v>414</v>
      </c>
      <c r="Y50" s="1270">
        <v>0</v>
      </c>
      <c r="Z50" s="1263" t="s">
        <v>306</v>
      </c>
      <c r="AA50" s="1270">
        <v>670</v>
      </c>
      <c r="AB50" s="1270">
        <v>670</v>
      </c>
      <c r="AC50" s="1270">
        <v>678</v>
      </c>
      <c r="AD50" s="1270">
        <v>678</v>
      </c>
      <c r="AE50" s="1270">
        <v>682</v>
      </c>
      <c r="AF50" s="1270">
        <v>672</v>
      </c>
      <c r="AG50" s="1270">
        <v>260</v>
      </c>
      <c r="AH50" s="1270">
        <v>260</v>
      </c>
      <c r="AI50" s="1270">
        <v>453</v>
      </c>
      <c r="AJ50" s="1270">
        <v>453</v>
      </c>
      <c r="AK50" s="1270">
        <v>362</v>
      </c>
      <c r="AL50" s="1270">
        <v>360</v>
      </c>
      <c r="AM50" s="1270"/>
      <c r="AN50" s="1263"/>
      <c r="AO50" s="1263"/>
      <c r="AP50" s="1263" t="str">
        <f ca="1"/>
        <v>MANISA BELEN</v>
      </c>
      <c r="AQ50" s="1263"/>
      <c r="AR50" s="1263"/>
      <c r="AS50" s="1263"/>
      <c r="AT50" s="1263"/>
      <c r="AU50" s="1263"/>
      <c r="AV50" s="1263"/>
      <c r="AW50" s="1263"/>
      <c r="AX50" s="1263"/>
      <c r="AY50" s="1263"/>
      <c r="AZ50" s="1263"/>
      <c r="BA50" s="1263"/>
      <c r="BB50" s="1263"/>
      <c r="BC50" s="1263"/>
      <c r="BD50" s="1263"/>
      <c r="BE50" s="1263"/>
      <c r="BF50" s="1263"/>
      <c r="BG50" s="1263"/>
      <c r="BH50" s="1263"/>
      <c r="BI50" s="1263"/>
      <c r="BJ50" s="1263"/>
      <c r="BK50" s="1263"/>
      <c r="BL50" s="1263"/>
      <c r="BM50" s="1263"/>
      <c r="BN50" s="1263"/>
      <c r="BO50" s="1263"/>
      <c r="BP50" s="1263"/>
      <c r="BQ50" s="1263"/>
      <c r="BR50" s="1263"/>
      <c r="BS50" s="1263"/>
      <c r="BT50" s="1263"/>
      <c r="BU50" s="1263"/>
      <c r="BV50" s="1263"/>
      <c r="BW50" s="1263"/>
      <c r="BX50" s="1263"/>
      <c r="BY50" s="1263"/>
      <c r="BZ50" s="1263"/>
      <c r="CA50" s="1263"/>
      <c r="CB50" s="1263"/>
      <c r="CC50" s="1263"/>
      <c r="CD50" s="1263"/>
      <c r="CE50" s="1263"/>
      <c r="CF50" s="1263"/>
      <c r="CG50" s="1263"/>
      <c r="CH50" s="1263"/>
      <c r="CI50" s="1263"/>
      <c r="CJ50" s="1263"/>
      <c r="CK50" s="1263"/>
      <c r="CL50" s="1263"/>
    </row>
    <row r="51" spans="1:90">
      <c r="A51" s="1264">
        <f t="shared" si="0"/>
        <v>50</v>
      </c>
      <c r="B51" s="1271" t="s">
        <v>415</v>
      </c>
      <c r="C51" s="1263" t="s">
        <v>223</v>
      </c>
      <c r="D51" s="1263" t="s">
        <v>362</v>
      </c>
      <c r="E51" s="1266">
        <v>84.39</v>
      </c>
      <c r="F51" s="1266">
        <v>90.46</v>
      </c>
      <c r="G51" s="1266">
        <v>2848</v>
      </c>
      <c r="H51" s="1266">
        <v>1601</v>
      </c>
      <c r="I51" s="1266">
        <v>4264</v>
      </c>
      <c r="J51" s="1266">
        <v>5.7539999999999996</v>
      </c>
      <c r="K51" s="1266">
        <v>1341</v>
      </c>
      <c r="L51" s="1267">
        <v>55</v>
      </c>
      <c r="M51" s="1266">
        <v>13.4</v>
      </c>
      <c r="N51" s="1263" t="s">
        <v>390</v>
      </c>
      <c r="O51" s="1263" t="s">
        <v>225</v>
      </c>
      <c r="P51" s="1263" t="s">
        <v>364</v>
      </c>
      <c r="Q51" s="1268">
        <v>3531.61</v>
      </c>
      <c r="R51" s="1268">
        <v>1.2729999999999999</v>
      </c>
      <c r="S51" s="1269">
        <v>44611</v>
      </c>
      <c r="T51" s="1269">
        <v>44614</v>
      </c>
      <c r="U51" s="1270">
        <v>300</v>
      </c>
      <c r="V51" s="1263" t="s">
        <v>5</v>
      </c>
      <c r="W51" s="1270">
        <v>300</v>
      </c>
      <c r="X51" s="1263" t="s">
        <v>226</v>
      </c>
      <c r="Y51" s="1270">
        <v>0</v>
      </c>
      <c r="Z51" s="1263" t="s">
        <v>306</v>
      </c>
      <c r="AA51" s="1270">
        <v>502</v>
      </c>
      <c r="AB51" s="1270">
        <v>492</v>
      </c>
      <c r="AC51" s="1270">
        <v>536</v>
      </c>
      <c r="AD51" s="1270">
        <v>536</v>
      </c>
      <c r="AE51" s="1270">
        <v>532</v>
      </c>
      <c r="AF51" s="1270">
        <v>503</v>
      </c>
      <c r="AG51" s="1270">
        <v>313</v>
      </c>
      <c r="AH51" s="1270">
        <v>313</v>
      </c>
      <c r="AI51" s="1270">
        <v>398</v>
      </c>
      <c r="AJ51" s="1270">
        <v>398</v>
      </c>
      <c r="AK51" s="1270">
        <v>349</v>
      </c>
      <c r="AL51" s="1270">
        <v>350</v>
      </c>
      <c r="AM51" s="1270"/>
      <c r="AN51" s="1263"/>
      <c r="AO51" s="1263"/>
      <c r="AP51" s="1263" t="str">
        <f ca="1"/>
        <v>MANISA GRETA</v>
      </c>
      <c r="AQ51" s="1263"/>
      <c r="AR51" s="1263"/>
      <c r="AS51" s="1263"/>
      <c r="AT51" s="1263"/>
      <c r="AU51" s="1263"/>
      <c r="AV51" s="1263"/>
      <c r="AW51" s="1263"/>
      <c r="AX51" s="1263"/>
      <c r="AY51" s="1263"/>
      <c r="AZ51" s="1263"/>
      <c r="BA51" s="1263"/>
      <c r="BB51" s="1263"/>
      <c r="BC51" s="1263"/>
      <c r="BD51" s="1263"/>
      <c r="BE51" s="1263"/>
      <c r="BF51" s="1263"/>
      <c r="BG51" s="1263"/>
      <c r="BH51" s="1263"/>
      <c r="BI51" s="1263"/>
      <c r="BJ51" s="1263"/>
      <c r="BK51" s="1263"/>
      <c r="BL51" s="1263"/>
      <c r="BM51" s="1263"/>
      <c r="BN51" s="1263"/>
      <c r="BO51" s="1263"/>
      <c r="BP51" s="1263"/>
      <c r="BQ51" s="1263"/>
      <c r="BR51" s="1263"/>
      <c r="BS51" s="1263"/>
      <c r="BT51" s="1263"/>
      <c r="BU51" s="1263"/>
      <c r="BV51" s="1263"/>
      <c r="BW51" s="1263"/>
      <c r="BX51" s="1263"/>
      <c r="BY51" s="1263"/>
      <c r="BZ51" s="1263"/>
      <c r="CA51" s="1263"/>
      <c r="CB51" s="1263"/>
      <c r="CC51" s="1263"/>
      <c r="CD51" s="1263"/>
      <c r="CE51" s="1263"/>
      <c r="CF51" s="1263"/>
      <c r="CG51" s="1263"/>
      <c r="CH51" s="1263"/>
      <c r="CI51" s="1263"/>
      <c r="CJ51" s="1263"/>
      <c r="CK51" s="1263"/>
      <c r="CL51" s="1263"/>
    </row>
    <row r="52" spans="1:90">
      <c r="A52" s="1264">
        <f t="shared" si="0"/>
        <v>51</v>
      </c>
      <c r="B52" s="1271" t="s">
        <v>416</v>
      </c>
      <c r="C52" s="1263" t="s">
        <v>374</v>
      </c>
      <c r="D52" s="1263" t="s">
        <v>374</v>
      </c>
      <c r="E52" s="1266">
        <v>169</v>
      </c>
      <c r="F52" s="1266">
        <v>178.43</v>
      </c>
      <c r="G52" s="1266">
        <v>17944</v>
      </c>
      <c r="H52" s="1266">
        <v>9697</v>
      </c>
      <c r="I52" s="1266">
        <v>27028.400000000001</v>
      </c>
      <c r="J52" s="1266">
        <v>9.6929999999999996</v>
      </c>
      <c r="K52" s="1266">
        <v>7906</v>
      </c>
      <c r="L52" s="1267">
        <v>150</v>
      </c>
      <c r="M52" s="1266">
        <v>26</v>
      </c>
      <c r="N52" s="1263" t="s">
        <v>359</v>
      </c>
      <c r="O52" s="1263" t="s">
        <v>225</v>
      </c>
      <c r="P52" s="1263" t="s">
        <v>360</v>
      </c>
      <c r="Q52" s="1268">
        <v>20777.850999999999</v>
      </c>
      <c r="R52" s="1268">
        <v>4.2880000000000003</v>
      </c>
      <c r="S52" s="1269">
        <v>44608</v>
      </c>
      <c r="T52" s="1269">
        <v>44611</v>
      </c>
      <c r="U52" s="1270">
        <v>160</v>
      </c>
      <c r="V52" s="1263" t="s">
        <v>5</v>
      </c>
      <c r="W52" s="1270">
        <v>800</v>
      </c>
      <c r="X52" s="1263" t="s">
        <v>226</v>
      </c>
      <c r="Y52" s="1270">
        <v>0</v>
      </c>
      <c r="Z52" s="1263" t="s">
        <v>306</v>
      </c>
      <c r="AA52" s="1270">
        <v>839</v>
      </c>
      <c r="AB52" s="1270">
        <v>839</v>
      </c>
      <c r="AC52" s="1270">
        <v>850</v>
      </c>
      <c r="AD52" s="1270">
        <v>852</v>
      </c>
      <c r="AE52" s="1270">
        <v>848</v>
      </c>
      <c r="AF52" s="1270">
        <v>851</v>
      </c>
      <c r="AG52" s="1270">
        <v>320</v>
      </c>
      <c r="AH52" s="1270">
        <v>319</v>
      </c>
      <c r="AI52" s="1270">
        <v>604</v>
      </c>
      <c r="AJ52" s="1270">
        <v>610</v>
      </c>
      <c r="AK52" s="1270">
        <v>460</v>
      </c>
      <c r="AL52" s="1270">
        <v>468</v>
      </c>
      <c r="AM52" s="1270"/>
      <c r="AN52" s="1263"/>
      <c r="AO52" s="1263"/>
      <c r="AP52" s="1263" t="str">
        <f ca="1"/>
        <v>NAOS</v>
      </c>
      <c r="AQ52" s="1263"/>
      <c r="AR52" s="1263"/>
      <c r="AS52" s="1263"/>
      <c r="AT52" s="1263"/>
      <c r="AU52" s="1263"/>
      <c r="AV52" s="1263"/>
      <c r="AW52" s="1263"/>
      <c r="AX52" s="1263"/>
      <c r="AY52" s="1263"/>
      <c r="AZ52" s="1263"/>
      <c r="BA52" s="1263"/>
      <c r="BB52" s="1263"/>
      <c r="BC52" s="1263"/>
      <c r="BD52" s="1263"/>
      <c r="BE52" s="1263"/>
      <c r="BF52" s="1263"/>
      <c r="BG52" s="1263"/>
      <c r="BH52" s="1263"/>
      <c r="BI52" s="1263"/>
      <c r="BJ52" s="1263"/>
      <c r="BK52" s="1263"/>
      <c r="BL52" s="1263"/>
      <c r="BM52" s="1263"/>
      <c r="BN52" s="1263"/>
      <c r="BO52" s="1263"/>
      <c r="BP52" s="1263"/>
      <c r="BQ52" s="1263"/>
      <c r="BR52" s="1263"/>
      <c r="BS52" s="1263"/>
      <c r="BT52" s="1263"/>
      <c r="BU52" s="1263"/>
      <c r="BV52" s="1263"/>
      <c r="BW52" s="1263"/>
      <c r="BX52" s="1263"/>
      <c r="BY52" s="1263"/>
      <c r="BZ52" s="1263"/>
      <c r="CA52" s="1263"/>
      <c r="CB52" s="1263"/>
      <c r="CC52" s="1263"/>
      <c r="CD52" s="1263"/>
      <c r="CE52" s="1263"/>
      <c r="CF52" s="1263"/>
      <c r="CG52" s="1263"/>
      <c r="CH52" s="1263"/>
      <c r="CI52" s="1263"/>
      <c r="CJ52" s="1263"/>
      <c r="CK52" s="1263"/>
      <c r="CL52" s="1263"/>
    </row>
    <row r="53" spans="1:90">
      <c r="A53" s="1264">
        <f t="shared" si="0"/>
        <v>52</v>
      </c>
      <c r="B53" s="1271" t="s">
        <v>417</v>
      </c>
      <c r="C53" s="1263" t="s">
        <v>412</v>
      </c>
      <c r="D53" s="1263" t="s">
        <v>413</v>
      </c>
      <c r="E53" s="1266">
        <v>99.98</v>
      </c>
      <c r="F53" s="1266">
        <v>106.04</v>
      </c>
      <c r="G53" s="1266">
        <v>4220</v>
      </c>
      <c r="H53" s="1266">
        <v>2456</v>
      </c>
      <c r="I53" s="1266">
        <v>5653</v>
      </c>
      <c r="J53" s="1266">
        <v>5.9829999999999997</v>
      </c>
      <c r="K53" s="1266">
        <v>2515</v>
      </c>
      <c r="L53" s="1267">
        <v>120</v>
      </c>
      <c r="M53" s="1266">
        <v>15.2</v>
      </c>
      <c r="N53" s="1263" t="s">
        <v>367</v>
      </c>
      <c r="O53" s="1263" t="s">
        <v>225</v>
      </c>
      <c r="P53" s="1263" t="s">
        <v>364</v>
      </c>
      <c r="Q53" s="1268">
        <v>5217.3999999999996</v>
      </c>
      <c r="R53" s="1268">
        <v>1.41</v>
      </c>
      <c r="S53" s="1269">
        <v>44355</v>
      </c>
      <c r="T53" s="1269">
        <v>44359</v>
      </c>
      <c r="U53" s="1270">
        <v>120</v>
      </c>
      <c r="V53" s="1263" t="s">
        <v>5</v>
      </c>
      <c r="W53" s="1270">
        <v>270</v>
      </c>
      <c r="X53" s="1263" t="s">
        <v>5</v>
      </c>
      <c r="Y53" s="1270">
        <v>160</v>
      </c>
      <c r="Z53" s="1263" t="s">
        <v>5</v>
      </c>
      <c r="AA53" s="1270">
        <v>541</v>
      </c>
      <c r="AB53" s="1270">
        <v>541</v>
      </c>
      <c r="AC53" s="1270">
        <v>620</v>
      </c>
      <c r="AD53" s="1270">
        <v>620</v>
      </c>
      <c r="AE53" s="1270">
        <v>590</v>
      </c>
      <c r="AF53" s="1270">
        <v>590</v>
      </c>
      <c r="AG53" s="1270">
        <v>301</v>
      </c>
      <c r="AH53" s="1270">
        <v>301</v>
      </c>
      <c r="AI53" s="1270">
        <v>380</v>
      </c>
      <c r="AJ53" s="1270">
        <v>380</v>
      </c>
      <c r="AK53" s="1270">
        <v>336</v>
      </c>
      <c r="AL53" s="1270">
        <v>345</v>
      </c>
      <c r="AM53" s="1270"/>
      <c r="AN53" s="1263"/>
      <c r="AO53" s="1263"/>
      <c r="AP53" s="1263" t="str">
        <f ca="1"/>
        <v>ROYAL STAR</v>
      </c>
      <c r="AQ53" s="1263"/>
      <c r="AR53" s="1263"/>
      <c r="AS53" s="1263"/>
      <c r="AT53" s="1263"/>
      <c r="AU53" s="1263"/>
      <c r="AV53" s="1263"/>
      <c r="AW53" s="1263"/>
      <c r="AX53" s="1263"/>
      <c r="AY53" s="1263"/>
      <c r="AZ53" s="1263"/>
      <c r="BA53" s="1263"/>
      <c r="BB53" s="1263"/>
      <c r="BC53" s="1263"/>
      <c r="BD53" s="1263"/>
      <c r="BE53" s="1263"/>
      <c r="BF53" s="1263"/>
      <c r="BG53" s="1263"/>
      <c r="BH53" s="1263"/>
      <c r="BI53" s="1263"/>
      <c r="BJ53" s="1263"/>
      <c r="BK53" s="1263"/>
      <c r="BL53" s="1263"/>
      <c r="BM53" s="1263"/>
      <c r="BN53" s="1263"/>
      <c r="BO53" s="1263"/>
      <c r="BP53" s="1263"/>
      <c r="BQ53" s="1263"/>
      <c r="BR53" s="1263"/>
      <c r="BS53" s="1263"/>
      <c r="BT53" s="1263"/>
      <c r="BU53" s="1263"/>
      <c r="BV53" s="1263"/>
      <c r="BW53" s="1263"/>
      <c r="BX53" s="1263"/>
      <c r="BY53" s="1263"/>
      <c r="BZ53" s="1263"/>
      <c r="CA53" s="1263"/>
      <c r="CB53" s="1263"/>
      <c r="CC53" s="1263"/>
      <c r="CD53" s="1263"/>
      <c r="CE53" s="1263"/>
      <c r="CF53" s="1263"/>
      <c r="CG53" s="1263"/>
      <c r="CH53" s="1263"/>
      <c r="CI53" s="1263"/>
      <c r="CJ53" s="1263"/>
      <c r="CK53" s="1263"/>
      <c r="CL53" s="1263"/>
    </row>
    <row r="54" spans="1:90">
      <c r="A54" s="1264">
        <f t="shared" si="0"/>
        <v>53</v>
      </c>
      <c r="B54" s="1271" t="s">
        <v>418</v>
      </c>
      <c r="C54" s="1263" t="s">
        <v>412</v>
      </c>
      <c r="D54" s="1263" t="s">
        <v>413</v>
      </c>
      <c r="E54" s="1266">
        <v>81</v>
      </c>
      <c r="F54" s="1266">
        <v>87.8</v>
      </c>
      <c r="G54" s="1266">
        <v>2461</v>
      </c>
      <c r="H54" s="1266">
        <v>1369</v>
      </c>
      <c r="I54" s="1266">
        <v>3793</v>
      </c>
      <c r="J54" s="1266">
        <v>5.6029999999999998</v>
      </c>
      <c r="K54" s="1266">
        <v>1221</v>
      </c>
      <c r="L54" s="1267">
        <v>30</v>
      </c>
      <c r="M54" s="1266">
        <v>12.8</v>
      </c>
      <c r="N54" s="1263" t="s">
        <v>394</v>
      </c>
      <c r="O54" s="1263" t="s">
        <v>225</v>
      </c>
      <c r="P54" s="1263" t="s">
        <v>364</v>
      </c>
      <c r="Q54" s="1268">
        <v>3190.02</v>
      </c>
      <c r="R54" s="1268">
        <v>1.52</v>
      </c>
      <c r="S54" s="1269">
        <v>44365</v>
      </c>
      <c r="T54" s="1269">
        <v>44371</v>
      </c>
      <c r="U54" s="1270">
        <v>180</v>
      </c>
      <c r="V54" s="1263" t="s">
        <v>5</v>
      </c>
      <c r="W54" s="1270">
        <v>205</v>
      </c>
      <c r="X54" s="1263" t="s">
        <v>5</v>
      </c>
      <c r="Y54" s="1270">
        <v>107</v>
      </c>
      <c r="Z54" s="1263" t="s">
        <v>5</v>
      </c>
      <c r="AA54" s="1270">
        <v>518</v>
      </c>
      <c r="AB54" s="1270">
        <v>518</v>
      </c>
      <c r="AC54" s="1270">
        <v>515</v>
      </c>
      <c r="AD54" s="1270">
        <v>515</v>
      </c>
      <c r="AE54" s="1270">
        <v>515</v>
      </c>
      <c r="AF54" s="1270">
        <v>522</v>
      </c>
      <c r="AG54" s="1270">
        <v>280</v>
      </c>
      <c r="AH54" s="1270">
        <v>280</v>
      </c>
      <c r="AI54" s="1270">
        <v>314</v>
      </c>
      <c r="AJ54" s="1270">
        <v>314</v>
      </c>
      <c r="AK54" s="1270">
        <v>304</v>
      </c>
      <c r="AL54" s="1270">
        <v>287</v>
      </c>
      <c r="AM54" s="1270"/>
      <c r="AN54" s="1263"/>
      <c r="AO54" s="1263"/>
      <c r="AP54" s="1263" t="str">
        <f ca="1"/>
        <v>RUBYLAND</v>
      </c>
      <c r="AQ54" s="1263"/>
      <c r="AR54" s="1263"/>
      <c r="AS54" s="1263"/>
      <c r="AT54" s="1263"/>
      <c r="AU54" s="1263"/>
      <c r="AV54" s="1263"/>
      <c r="AW54" s="1263"/>
      <c r="AX54" s="1263"/>
      <c r="AY54" s="1263"/>
      <c r="AZ54" s="1263"/>
      <c r="BA54" s="1263"/>
      <c r="BB54" s="1263"/>
      <c r="BC54" s="1263"/>
      <c r="BD54" s="1263"/>
      <c r="BE54" s="1263"/>
      <c r="BF54" s="1263"/>
      <c r="BG54" s="1263"/>
      <c r="BH54" s="1263"/>
      <c r="BI54" s="1263"/>
      <c r="BJ54" s="1263"/>
      <c r="BK54" s="1263"/>
      <c r="BL54" s="1263"/>
      <c r="BM54" s="1263"/>
      <c r="BN54" s="1263"/>
      <c r="BO54" s="1263"/>
      <c r="BP54" s="1263"/>
      <c r="BQ54" s="1263"/>
      <c r="BR54" s="1263"/>
      <c r="BS54" s="1263"/>
      <c r="BT54" s="1263"/>
      <c r="BU54" s="1263"/>
      <c r="BV54" s="1263"/>
      <c r="BW54" s="1263"/>
      <c r="BX54" s="1263"/>
      <c r="BY54" s="1263"/>
      <c r="BZ54" s="1263"/>
      <c r="CA54" s="1263"/>
      <c r="CB54" s="1263"/>
      <c r="CC54" s="1263"/>
      <c r="CD54" s="1263"/>
      <c r="CE54" s="1263"/>
      <c r="CF54" s="1263"/>
      <c r="CG54" s="1263"/>
      <c r="CH54" s="1263"/>
      <c r="CI54" s="1263"/>
      <c r="CJ54" s="1263"/>
      <c r="CK54" s="1263"/>
      <c r="CL54" s="1263"/>
    </row>
    <row r="55" spans="1:90">
      <c r="A55" s="1264">
        <f t="shared" si="0"/>
        <v>54</v>
      </c>
      <c r="B55" s="1271" t="s">
        <v>419</v>
      </c>
      <c r="C55" s="1263" t="s">
        <v>374</v>
      </c>
      <c r="D55" s="1263" t="s">
        <v>374</v>
      </c>
      <c r="E55" s="1266">
        <v>112.45</v>
      </c>
      <c r="F55" s="1266">
        <v>118.79</v>
      </c>
      <c r="G55" s="1266">
        <v>4951</v>
      </c>
      <c r="H55" s="1266">
        <v>2384</v>
      </c>
      <c r="I55" s="1266">
        <v>7992</v>
      </c>
      <c r="J55" s="1266">
        <v>7.06</v>
      </c>
      <c r="K55" s="1266">
        <v>2457.8000000000002</v>
      </c>
      <c r="L55" s="1267">
        <v>120</v>
      </c>
      <c r="M55" s="1266">
        <v>15.3</v>
      </c>
      <c r="N55" s="1263" t="s">
        <v>420</v>
      </c>
      <c r="O55" s="1263" t="s">
        <v>225</v>
      </c>
      <c r="P55" s="1263" t="s">
        <v>364</v>
      </c>
      <c r="Q55" s="1268">
        <v>4670.46</v>
      </c>
      <c r="R55" s="1268">
        <v>2.79</v>
      </c>
      <c r="S55" s="1269">
        <v>44370</v>
      </c>
      <c r="T55" s="1269">
        <v>44373</v>
      </c>
      <c r="U55" s="1270">
        <v>100</v>
      </c>
      <c r="V55" s="1263" t="s">
        <v>5</v>
      </c>
      <c r="W55" s="1270">
        <v>133</v>
      </c>
      <c r="X55" s="1263" t="s">
        <v>5</v>
      </c>
      <c r="Y55" s="1270">
        <v>0</v>
      </c>
      <c r="Z55" s="1263" t="s">
        <v>306</v>
      </c>
      <c r="AA55" s="1270">
        <v>523</v>
      </c>
      <c r="AB55" s="1270">
        <v>523</v>
      </c>
      <c r="AC55" s="1270">
        <v>578</v>
      </c>
      <c r="AD55" s="1270">
        <v>578</v>
      </c>
      <c r="AE55" s="1270">
        <v>559</v>
      </c>
      <c r="AF55" s="1270">
        <v>548</v>
      </c>
      <c r="AG55" s="1270">
        <v>416</v>
      </c>
      <c r="AH55" s="1270">
        <v>416</v>
      </c>
      <c r="AI55" s="1270">
        <v>440</v>
      </c>
      <c r="AJ55" s="1270">
        <v>440</v>
      </c>
      <c r="AK55" s="1270">
        <v>422</v>
      </c>
      <c r="AL55" s="1270">
        <v>425</v>
      </c>
      <c r="AM55" s="1270"/>
      <c r="AN55" s="1263"/>
      <c r="AO55" s="1263"/>
      <c r="AP55" s="1263" t="str">
        <f ca="1"/>
        <v>AMSTAL</v>
      </c>
      <c r="AQ55" s="1263"/>
      <c r="AR55" s="1263"/>
      <c r="AS55" s="1263"/>
      <c r="AT55" s="1263"/>
      <c r="AU55" s="1263"/>
      <c r="AV55" s="1263"/>
      <c r="AW55" s="1263"/>
      <c r="AX55" s="1263"/>
      <c r="AY55" s="1263"/>
      <c r="AZ55" s="1263"/>
      <c r="BA55" s="1263"/>
      <c r="BB55" s="1263"/>
      <c r="BC55" s="1263"/>
      <c r="BD55" s="1263"/>
      <c r="BE55" s="1263"/>
      <c r="BF55" s="1263"/>
      <c r="BG55" s="1263"/>
      <c r="BH55" s="1263"/>
      <c r="BI55" s="1263"/>
      <c r="BJ55" s="1263"/>
      <c r="BK55" s="1263"/>
      <c r="BL55" s="1263"/>
      <c r="BM55" s="1263"/>
      <c r="BN55" s="1263"/>
      <c r="BO55" s="1263"/>
      <c r="BP55" s="1263"/>
      <c r="BQ55" s="1263"/>
      <c r="BR55" s="1263"/>
      <c r="BS55" s="1263"/>
      <c r="BT55" s="1263"/>
      <c r="BU55" s="1263"/>
      <c r="BV55" s="1263"/>
      <c r="BW55" s="1263"/>
      <c r="BX55" s="1263"/>
      <c r="BY55" s="1263"/>
      <c r="BZ55" s="1263"/>
      <c r="CA55" s="1263"/>
      <c r="CB55" s="1263"/>
      <c r="CC55" s="1263"/>
      <c r="CD55" s="1263"/>
      <c r="CE55" s="1263"/>
      <c r="CF55" s="1263"/>
      <c r="CG55" s="1263"/>
      <c r="CH55" s="1263"/>
      <c r="CI55" s="1263"/>
      <c r="CJ55" s="1263"/>
      <c r="CK55" s="1263"/>
      <c r="CL55" s="1263"/>
    </row>
    <row r="56" spans="1:90">
      <c r="A56" s="1264">
        <f t="shared" si="0"/>
        <v>55</v>
      </c>
      <c r="B56" s="1271" t="s">
        <v>421</v>
      </c>
      <c r="C56" s="1263" t="s">
        <v>223</v>
      </c>
      <c r="D56" s="1263" t="s">
        <v>362</v>
      </c>
      <c r="E56" s="1266">
        <v>84.7</v>
      </c>
      <c r="F56" s="1266">
        <v>89.8</v>
      </c>
      <c r="G56" s="1266">
        <v>2990</v>
      </c>
      <c r="H56" s="1266">
        <v>1686</v>
      </c>
      <c r="I56" s="1266">
        <v>4919.8</v>
      </c>
      <c r="J56" s="1266">
        <v>6.3</v>
      </c>
      <c r="K56" s="1266">
        <v>1522.2</v>
      </c>
      <c r="L56" s="1267">
        <v>110</v>
      </c>
      <c r="M56" s="1266">
        <v>14.5</v>
      </c>
      <c r="N56" s="1263" t="s">
        <v>367</v>
      </c>
      <c r="O56" s="1263" t="s">
        <v>225</v>
      </c>
      <c r="P56" s="1263" t="s">
        <v>364</v>
      </c>
      <c r="Q56" s="1268">
        <v>4471.5839999999998</v>
      </c>
      <c r="R56" s="1268">
        <v>1.6120000000000001</v>
      </c>
      <c r="S56" s="1269">
        <v>44576</v>
      </c>
      <c r="T56" s="1269">
        <v>44580</v>
      </c>
      <c r="U56" s="1270">
        <v>60</v>
      </c>
      <c r="V56" s="1263" t="s">
        <v>5</v>
      </c>
      <c r="W56" s="1270">
        <v>200</v>
      </c>
      <c r="X56" s="1263" t="s">
        <v>5</v>
      </c>
      <c r="Y56" s="1270">
        <v>0</v>
      </c>
      <c r="Z56" s="1263" t="s">
        <v>306</v>
      </c>
      <c r="AA56" s="1270">
        <v>591</v>
      </c>
      <c r="AB56" s="1270">
        <v>591</v>
      </c>
      <c r="AC56" s="1270">
        <v>637</v>
      </c>
      <c r="AD56" s="1270">
        <v>637</v>
      </c>
      <c r="AE56" s="1270">
        <v>609</v>
      </c>
      <c r="AF56" s="1270">
        <v>609</v>
      </c>
      <c r="AG56" s="1270">
        <v>332</v>
      </c>
      <c r="AH56" s="1270">
        <v>331</v>
      </c>
      <c r="AI56" s="1270">
        <v>415</v>
      </c>
      <c r="AJ56" s="1270">
        <v>415</v>
      </c>
      <c r="AK56" s="1270">
        <v>370</v>
      </c>
      <c r="AL56" s="1270">
        <v>370</v>
      </c>
      <c r="AM56" s="1270"/>
      <c r="AN56" s="1263"/>
      <c r="AO56" s="1263"/>
      <c r="AP56" s="1263" t="str">
        <f ca="1"/>
        <v>MANIZALES</v>
      </c>
      <c r="AQ56" s="1263"/>
      <c r="AR56" s="1263"/>
      <c r="AS56" s="1263"/>
      <c r="AT56" s="1263"/>
      <c r="AU56" s="1263"/>
      <c r="AV56" s="1263"/>
      <c r="AW56" s="1263"/>
      <c r="AX56" s="1263"/>
      <c r="AY56" s="1263"/>
      <c r="AZ56" s="1263"/>
      <c r="BA56" s="1263"/>
      <c r="BB56" s="1263"/>
      <c r="BC56" s="1263"/>
      <c r="BD56" s="1263"/>
      <c r="BE56" s="1263"/>
      <c r="BF56" s="1263"/>
      <c r="BG56" s="1263"/>
      <c r="BH56" s="1263"/>
      <c r="BI56" s="1263"/>
      <c r="BJ56" s="1263"/>
      <c r="BK56" s="1263"/>
      <c r="BL56" s="1263"/>
      <c r="BM56" s="1263"/>
      <c r="BN56" s="1263"/>
      <c r="BO56" s="1263"/>
      <c r="BP56" s="1263"/>
      <c r="BQ56" s="1263"/>
      <c r="BR56" s="1263"/>
      <c r="BS56" s="1263"/>
      <c r="BT56" s="1263"/>
      <c r="BU56" s="1263"/>
      <c r="BV56" s="1263"/>
      <c r="BW56" s="1263"/>
      <c r="BX56" s="1263"/>
      <c r="BY56" s="1263"/>
      <c r="BZ56" s="1263"/>
      <c r="CA56" s="1263"/>
      <c r="CB56" s="1263"/>
      <c r="CC56" s="1263"/>
      <c r="CD56" s="1263"/>
      <c r="CE56" s="1263"/>
      <c r="CF56" s="1263"/>
      <c r="CG56" s="1263"/>
      <c r="CH56" s="1263"/>
      <c r="CI56" s="1263"/>
      <c r="CJ56" s="1263"/>
      <c r="CK56" s="1263"/>
      <c r="CL56" s="1263"/>
    </row>
    <row r="57" spans="1:90">
      <c r="A57" s="1264">
        <f t="shared" si="0"/>
        <v>56</v>
      </c>
      <c r="B57" s="1271" t="s">
        <v>422</v>
      </c>
      <c r="C57" s="1263" t="s">
        <v>423</v>
      </c>
      <c r="D57" s="1263" t="s">
        <v>424</v>
      </c>
      <c r="E57" s="1266">
        <v>81</v>
      </c>
      <c r="F57" s="1266">
        <v>87.98</v>
      </c>
      <c r="G57" s="1266">
        <v>2461</v>
      </c>
      <c r="H57" s="1266">
        <v>1369</v>
      </c>
      <c r="I57" s="1266">
        <v>3804.95</v>
      </c>
      <c r="J57" s="1266">
        <v>5.593</v>
      </c>
      <c r="K57" s="1266">
        <v>1221.3499999999999</v>
      </c>
      <c r="L57" s="1267">
        <v>20</v>
      </c>
      <c r="M57" s="1266">
        <v>12.8</v>
      </c>
      <c r="N57" s="1263" t="s">
        <v>425</v>
      </c>
      <c r="O57" s="1263" t="s">
        <v>225</v>
      </c>
      <c r="P57" s="1263" t="s">
        <v>364</v>
      </c>
      <c r="Q57" s="1268">
        <v>3133.8850000000002</v>
      </c>
      <c r="R57" s="1268">
        <v>1.52</v>
      </c>
      <c r="S57" s="1269">
        <v>44495</v>
      </c>
      <c r="T57" s="1269">
        <v>44498</v>
      </c>
      <c r="U57" s="1270">
        <v>180</v>
      </c>
      <c r="V57" s="1263" t="s">
        <v>5</v>
      </c>
      <c r="W57" s="1270">
        <v>217.5</v>
      </c>
      <c r="X57" s="1263" t="s">
        <v>5</v>
      </c>
      <c r="Y57" s="1270">
        <v>107</v>
      </c>
      <c r="Z57" s="1263" t="s">
        <v>5</v>
      </c>
      <c r="AA57" s="1270">
        <v>540</v>
      </c>
      <c r="AB57" s="1270">
        <v>540</v>
      </c>
      <c r="AC57" s="1270">
        <v>559</v>
      </c>
      <c r="AD57" s="1270">
        <v>559</v>
      </c>
      <c r="AE57" s="1270">
        <v>548</v>
      </c>
      <c r="AF57" s="1270">
        <v>554</v>
      </c>
      <c r="AG57" s="1270">
        <v>359</v>
      </c>
      <c r="AH57" s="1270">
        <v>359</v>
      </c>
      <c r="AI57" s="1270">
        <v>332</v>
      </c>
      <c r="AJ57" s="1270">
        <v>332</v>
      </c>
      <c r="AK57" s="1270">
        <v>348</v>
      </c>
      <c r="AL57" s="1270">
        <v>348</v>
      </c>
      <c r="AM57" s="1270"/>
      <c r="AN57" s="1263"/>
      <c r="AO57" s="1263"/>
      <c r="AP57" s="1263" t="str">
        <f ca="1"/>
        <v>SPANACO LOYALTY</v>
      </c>
      <c r="AQ57" s="1263"/>
      <c r="AR57" s="1263"/>
      <c r="AS57" s="1263"/>
      <c r="AT57" s="1263"/>
      <c r="AU57" s="1263"/>
      <c r="AV57" s="1263"/>
      <c r="AW57" s="1263"/>
      <c r="AX57" s="1263"/>
      <c r="AY57" s="1263"/>
      <c r="AZ57" s="1263"/>
      <c r="BA57" s="1263"/>
      <c r="BB57" s="1263"/>
      <c r="BC57" s="1263"/>
      <c r="BD57" s="1263"/>
      <c r="BE57" s="1263"/>
      <c r="BF57" s="1263"/>
      <c r="BG57" s="1263"/>
      <c r="BH57" s="1263"/>
      <c r="BI57" s="1263"/>
      <c r="BJ57" s="1263"/>
      <c r="BK57" s="1263"/>
      <c r="BL57" s="1263"/>
      <c r="BM57" s="1263"/>
      <c r="BN57" s="1263"/>
      <c r="BO57" s="1263"/>
      <c r="BP57" s="1263"/>
      <c r="BQ57" s="1263"/>
      <c r="BR57" s="1263"/>
      <c r="BS57" s="1263"/>
      <c r="BT57" s="1263"/>
      <c r="BU57" s="1263"/>
      <c r="BV57" s="1263"/>
      <c r="BW57" s="1263"/>
      <c r="BX57" s="1263"/>
      <c r="BY57" s="1263"/>
      <c r="BZ57" s="1263"/>
      <c r="CA57" s="1263"/>
      <c r="CB57" s="1263"/>
      <c r="CC57" s="1263"/>
      <c r="CD57" s="1263"/>
      <c r="CE57" s="1263"/>
      <c r="CF57" s="1263"/>
      <c r="CG57" s="1263"/>
      <c r="CH57" s="1263"/>
      <c r="CI57" s="1263"/>
      <c r="CJ57" s="1263"/>
      <c r="CK57" s="1263"/>
      <c r="CL57" s="1263"/>
    </row>
    <row r="58" spans="1:90">
      <c r="A58" s="1264">
        <f t="shared" si="0"/>
        <v>57</v>
      </c>
      <c r="B58" s="1271" t="s">
        <v>426</v>
      </c>
      <c r="C58" s="1263" t="s">
        <v>382</v>
      </c>
      <c r="D58" s="1263" t="s">
        <v>383</v>
      </c>
      <c r="E58" s="1266">
        <v>84.9</v>
      </c>
      <c r="F58" s="1266">
        <v>88.2</v>
      </c>
      <c r="G58" s="1266">
        <v>2827</v>
      </c>
      <c r="H58" s="1266">
        <v>1595</v>
      </c>
      <c r="I58" s="1266">
        <v>5802</v>
      </c>
      <c r="J58" s="1266">
        <v>7.7220000000000004</v>
      </c>
      <c r="K58" s="1266">
        <v>1277.2</v>
      </c>
      <c r="L58" s="1267">
        <v>20</v>
      </c>
      <c r="M58" s="1266">
        <v>13.66</v>
      </c>
      <c r="N58" s="1263" t="s">
        <v>388</v>
      </c>
      <c r="O58" s="1263" t="s">
        <v>225</v>
      </c>
      <c r="P58" s="1263" t="s">
        <v>364</v>
      </c>
      <c r="Q58" s="1268">
        <v>3953.1060000000002</v>
      </c>
      <c r="R58" s="1268">
        <v>2.6549999999999998</v>
      </c>
      <c r="S58" s="1269">
        <v>44487</v>
      </c>
      <c r="T58" s="1269">
        <v>44492</v>
      </c>
      <c r="U58" s="1270">
        <v>0</v>
      </c>
      <c r="V58" s="1263" t="s">
        <v>306</v>
      </c>
      <c r="W58" s="1270">
        <v>180</v>
      </c>
      <c r="X58" s="1263" t="s">
        <v>5</v>
      </c>
      <c r="Y58" s="1270">
        <v>0</v>
      </c>
      <c r="Z58" s="1263" t="s">
        <v>306</v>
      </c>
      <c r="AA58" s="1270">
        <v>563</v>
      </c>
      <c r="AB58" s="1270">
        <v>563</v>
      </c>
      <c r="AC58" s="1270">
        <v>579</v>
      </c>
      <c r="AD58" s="1270">
        <v>579</v>
      </c>
      <c r="AE58" s="1270">
        <v>578</v>
      </c>
      <c r="AF58" s="1270">
        <v>569</v>
      </c>
      <c r="AG58" s="1270">
        <v>282</v>
      </c>
      <c r="AH58" s="1270">
        <v>282</v>
      </c>
      <c r="AI58" s="1270">
        <v>430</v>
      </c>
      <c r="AJ58" s="1270">
        <v>430</v>
      </c>
      <c r="AK58" s="1270">
        <v>367</v>
      </c>
      <c r="AL58" s="1270">
        <v>348</v>
      </c>
      <c r="AM58" s="1270"/>
      <c r="AN58" s="1263"/>
      <c r="AO58" s="1263"/>
      <c r="AP58" s="1263" t="str">
        <f ca="1"/>
        <v>MARRANT</v>
      </c>
      <c r="AQ58" s="1263"/>
      <c r="AR58" s="1263"/>
      <c r="AS58" s="1263"/>
      <c r="AT58" s="1263"/>
      <c r="AU58" s="1263"/>
      <c r="AV58" s="1263"/>
      <c r="AW58" s="1263"/>
      <c r="AX58" s="1263"/>
      <c r="AY58" s="1263"/>
      <c r="AZ58" s="1263"/>
      <c r="BA58" s="1263"/>
      <c r="BB58" s="1263"/>
      <c r="BC58" s="1263"/>
      <c r="BD58" s="1263"/>
      <c r="BE58" s="1263"/>
      <c r="BF58" s="1263"/>
      <c r="BG58" s="1263"/>
      <c r="BH58" s="1263"/>
      <c r="BI58" s="1263"/>
      <c r="BJ58" s="1263"/>
      <c r="BK58" s="1263"/>
      <c r="BL58" s="1263"/>
      <c r="BM58" s="1263"/>
      <c r="BN58" s="1263"/>
      <c r="BO58" s="1263"/>
      <c r="BP58" s="1263"/>
      <c r="BQ58" s="1263"/>
      <c r="BR58" s="1263"/>
      <c r="BS58" s="1263"/>
      <c r="BT58" s="1263"/>
      <c r="BU58" s="1263"/>
      <c r="BV58" s="1263"/>
      <c r="BW58" s="1263"/>
      <c r="BX58" s="1263"/>
      <c r="BY58" s="1263"/>
      <c r="BZ58" s="1263"/>
      <c r="CA58" s="1263"/>
      <c r="CB58" s="1263"/>
      <c r="CC58" s="1263"/>
      <c r="CD58" s="1263"/>
      <c r="CE58" s="1263"/>
      <c r="CF58" s="1263"/>
      <c r="CG58" s="1263"/>
      <c r="CH58" s="1263"/>
      <c r="CI58" s="1263"/>
      <c r="CJ58" s="1263"/>
      <c r="CK58" s="1263"/>
      <c r="CL58" s="1263"/>
    </row>
    <row r="59" spans="1:90">
      <c r="A59" s="1264">
        <f t="shared" si="0"/>
        <v>58</v>
      </c>
      <c r="B59" s="1271" t="s">
        <v>427</v>
      </c>
      <c r="C59" s="1263" t="s">
        <v>428</v>
      </c>
      <c r="D59" s="1263" t="s">
        <v>429</v>
      </c>
      <c r="E59" s="1266">
        <v>99</v>
      </c>
      <c r="F59" s="1266">
        <v>105.5</v>
      </c>
      <c r="G59" s="1266">
        <v>4355</v>
      </c>
      <c r="H59" s="1266">
        <v>2504</v>
      </c>
      <c r="I59" s="1266">
        <v>6830</v>
      </c>
      <c r="J59" s="1266">
        <v>6.91</v>
      </c>
      <c r="K59" s="1266">
        <v>2169</v>
      </c>
      <c r="L59" s="1267">
        <v>90</v>
      </c>
      <c r="M59" s="1266">
        <v>16.8</v>
      </c>
      <c r="N59" s="1263" t="s">
        <v>359</v>
      </c>
      <c r="O59" s="1263" t="s">
        <v>225</v>
      </c>
      <c r="P59" s="1263" t="s">
        <v>360</v>
      </c>
      <c r="Q59" s="1268">
        <v>6501.9690000000001</v>
      </c>
      <c r="R59" s="1268">
        <v>1.853</v>
      </c>
      <c r="S59" s="1269">
        <v>44484</v>
      </c>
      <c r="T59" s="1269">
        <v>44487</v>
      </c>
      <c r="U59" s="1270">
        <v>180</v>
      </c>
      <c r="V59" s="1263" t="s">
        <v>5</v>
      </c>
      <c r="W59" s="1270">
        <v>415</v>
      </c>
      <c r="X59" s="1263" t="s">
        <v>226</v>
      </c>
      <c r="Y59" s="1270">
        <v>50</v>
      </c>
      <c r="Z59" s="1263" t="s">
        <v>5</v>
      </c>
      <c r="AA59" s="1270">
        <v>629</v>
      </c>
      <c r="AB59" s="1270">
        <v>629</v>
      </c>
      <c r="AC59" s="1270">
        <v>743</v>
      </c>
      <c r="AD59" s="1270">
        <v>743</v>
      </c>
      <c r="AE59" s="1270">
        <v>696</v>
      </c>
      <c r="AF59" s="1270">
        <v>686</v>
      </c>
      <c r="AG59" s="1270">
        <v>167</v>
      </c>
      <c r="AH59" s="1270">
        <v>167</v>
      </c>
      <c r="AI59" s="1270">
        <v>363</v>
      </c>
      <c r="AJ59" s="1270">
        <v>363</v>
      </c>
      <c r="AK59" s="1270">
        <v>265</v>
      </c>
      <c r="AL59" s="1270">
        <v>272</v>
      </c>
      <c r="AM59" s="1270"/>
      <c r="AN59" s="1263"/>
      <c r="AO59" s="1263"/>
      <c r="AP59" s="1263" t="str">
        <f ca="1"/>
        <v>JOMI</v>
      </c>
      <c r="AQ59" s="1263"/>
      <c r="AR59" s="1263"/>
      <c r="AS59" s="1263"/>
      <c r="AT59" s="1263"/>
      <c r="AU59" s="1263"/>
      <c r="AV59" s="1263"/>
      <c r="AW59" s="1263"/>
      <c r="AX59" s="1263"/>
      <c r="AY59" s="1263"/>
      <c r="AZ59" s="1263"/>
      <c r="BA59" s="1263"/>
      <c r="BB59" s="1263"/>
      <c r="BC59" s="1263"/>
      <c r="BD59" s="1263"/>
      <c r="BE59" s="1263"/>
      <c r="BF59" s="1263"/>
      <c r="BG59" s="1263"/>
      <c r="BH59" s="1263"/>
      <c r="BI59" s="1263"/>
      <c r="BJ59" s="1263"/>
      <c r="BK59" s="1263"/>
      <c r="BL59" s="1263"/>
      <c r="BM59" s="1263"/>
      <c r="BN59" s="1263"/>
      <c r="BO59" s="1263"/>
      <c r="BP59" s="1263"/>
      <c r="BQ59" s="1263"/>
      <c r="BR59" s="1263"/>
      <c r="BS59" s="1263"/>
      <c r="BT59" s="1263"/>
      <c r="BU59" s="1263"/>
      <c r="BV59" s="1263"/>
      <c r="BW59" s="1263"/>
      <c r="BX59" s="1263"/>
      <c r="BY59" s="1263"/>
      <c r="BZ59" s="1263"/>
      <c r="CA59" s="1263"/>
      <c r="CB59" s="1263"/>
      <c r="CC59" s="1263"/>
      <c r="CD59" s="1263"/>
      <c r="CE59" s="1263"/>
      <c r="CF59" s="1263"/>
      <c r="CG59" s="1263"/>
      <c r="CH59" s="1263"/>
      <c r="CI59" s="1263"/>
      <c r="CJ59" s="1263"/>
      <c r="CK59" s="1263"/>
      <c r="CL59" s="1263"/>
    </row>
    <row r="60" spans="1:90">
      <c r="A60" s="1264">
        <f t="shared" si="0"/>
        <v>59</v>
      </c>
      <c r="B60" s="1271" t="s">
        <v>430</v>
      </c>
      <c r="C60" s="1263" t="s">
        <v>300</v>
      </c>
      <c r="D60" s="1263" t="s">
        <v>431</v>
      </c>
      <c r="E60" s="1266">
        <v>116.895</v>
      </c>
      <c r="F60" s="1266">
        <v>119.495</v>
      </c>
      <c r="G60" s="1266">
        <v>5056</v>
      </c>
      <c r="H60" s="1266">
        <v>2655</v>
      </c>
      <c r="I60" s="1266">
        <v>8643.2000000000007</v>
      </c>
      <c r="J60" s="1266">
        <v>7.2009999999999996</v>
      </c>
      <c r="K60" s="1266">
        <v>2172</v>
      </c>
      <c r="L60" s="1267">
        <v>90</v>
      </c>
      <c r="M60" s="1266">
        <v>14.99</v>
      </c>
      <c r="N60" s="1263" t="s">
        <v>367</v>
      </c>
      <c r="O60" s="1263" t="s">
        <v>225</v>
      </c>
      <c r="P60" s="1263" t="s">
        <v>364</v>
      </c>
      <c r="Q60" s="1268">
        <v>6812.4</v>
      </c>
      <c r="R60" s="1268">
        <v>1.41</v>
      </c>
      <c r="S60" s="1269">
        <v>44357</v>
      </c>
      <c r="T60" s="1269">
        <v>44483</v>
      </c>
      <c r="U60" s="1270">
        <v>159.5</v>
      </c>
      <c r="V60" s="1263" t="s">
        <v>5</v>
      </c>
      <c r="W60" s="1270">
        <v>260</v>
      </c>
      <c r="X60" s="1263" t="s">
        <v>5</v>
      </c>
      <c r="Y60" s="1270">
        <v>30</v>
      </c>
      <c r="Z60" s="1263" t="s">
        <v>5</v>
      </c>
      <c r="AA60" s="1270">
        <v>599</v>
      </c>
      <c r="AB60" s="1270">
        <v>599</v>
      </c>
      <c r="AC60" s="1270">
        <v>682</v>
      </c>
      <c r="AD60" s="1270">
        <v>682</v>
      </c>
      <c r="AE60" s="1270">
        <v>630</v>
      </c>
      <c r="AF60" s="1270">
        <v>630</v>
      </c>
      <c r="AG60" s="1270">
        <v>298</v>
      </c>
      <c r="AH60" s="1270">
        <v>298</v>
      </c>
      <c r="AI60" s="1270">
        <v>461</v>
      </c>
      <c r="AJ60" s="1270">
        <v>461</v>
      </c>
      <c r="AK60" s="1270">
        <v>370</v>
      </c>
      <c r="AL60" s="1270">
        <v>372</v>
      </c>
      <c r="AM60" s="1270"/>
      <c r="AN60" s="1263"/>
      <c r="AO60" s="1263"/>
      <c r="AP60" s="1263" t="str">
        <f ca="1"/>
        <v>LADY AUGUSTA</v>
      </c>
      <c r="AQ60" s="1263"/>
      <c r="AR60" s="1263"/>
      <c r="AS60" s="1263"/>
      <c r="AT60" s="1263"/>
      <c r="AU60" s="1263"/>
      <c r="AV60" s="1263"/>
      <c r="AW60" s="1263"/>
      <c r="AX60" s="1263"/>
      <c r="AY60" s="1263"/>
      <c r="AZ60" s="1263"/>
      <c r="BA60" s="1263"/>
      <c r="BB60" s="1263"/>
      <c r="BC60" s="1263"/>
      <c r="BD60" s="1263"/>
      <c r="BE60" s="1263"/>
      <c r="BF60" s="1263"/>
      <c r="BG60" s="1263"/>
      <c r="BH60" s="1263"/>
      <c r="BI60" s="1263"/>
      <c r="BJ60" s="1263"/>
      <c r="BK60" s="1263"/>
      <c r="BL60" s="1263"/>
      <c r="BM60" s="1263"/>
      <c r="BN60" s="1263"/>
      <c r="BO60" s="1263"/>
      <c r="BP60" s="1263"/>
      <c r="BQ60" s="1263"/>
      <c r="BR60" s="1263"/>
      <c r="BS60" s="1263"/>
      <c r="BT60" s="1263"/>
      <c r="BU60" s="1263"/>
      <c r="BV60" s="1263"/>
      <c r="BW60" s="1263"/>
      <c r="BX60" s="1263"/>
      <c r="BY60" s="1263"/>
      <c r="BZ60" s="1263"/>
      <c r="CA60" s="1263"/>
      <c r="CB60" s="1263"/>
      <c r="CC60" s="1263"/>
      <c r="CD60" s="1263"/>
      <c r="CE60" s="1263"/>
      <c r="CF60" s="1263"/>
      <c r="CG60" s="1263"/>
      <c r="CH60" s="1263"/>
      <c r="CI60" s="1263"/>
      <c r="CJ60" s="1263"/>
      <c r="CK60" s="1263"/>
      <c r="CL60" s="1263"/>
    </row>
    <row r="61" spans="1:90">
      <c r="A61" s="1264">
        <f t="shared" si="0"/>
        <v>60</v>
      </c>
      <c r="B61" s="1271" t="s">
        <v>432</v>
      </c>
      <c r="C61" s="1263" t="s">
        <v>433</v>
      </c>
      <c r="D61" s="1263" t="s">
        <v>434</v>
      </c>
      <c r="E61" s="1266">
        <v>99.9</v>
      </c>
      <c r="F61" s="1266">
        <v>111.11</v>
      </c>
      <c r="G61" s="1266">
        <v>4169</v>
      </c>
      <c r="H61" s="1266">
        <v>2186</v>
      </c>
      <c r="I61" s="1266">
        <v>5600</v>
      </c>
      <c r="J61" s="1266">
        <v>6.57</v>
      </c>
      <c r="K61" s="1266">
        <v>2027.59</v>
      </c>
      <c r="L61" s="1267">
        <v>65</v>
      </c>
      <c r="M61" s="1266">
        <v>16</v>
      </c>
      <c r="N61" s="1263" t="s">
        <v>390</v>
      </c>
      <c r="O61" s="1263" t="s">
        <v>225</v>
      </c>
      <c r="P61" s="1263" t="s">
        <v>364</v>
      </c>
      <c r="Q61" s="1268">
        <v>4399.701</v>
      </c>
      <c r="R61" s="1268">
        <v>1.41</v>
      </c>
      <c r="S61" s="1269">
        <v>44334</v>
      </c>
      <c r="T61" s="1269">
        <v>44338</v>
      </c>
      <c r="U61" s="1270">
        <v>0</v>
      </c>
      <c r="V61" s="1263" t="s">
        <v>306</v>
      </c>
      <c r="W61" s="1270">
        <v>0</v>
      </c>
      <c r="X61" s="1263" t="s">
        <v>414</v>
      </c>
      <c r="Y61" s="1270">
        <v>0</v>
      </c>
      <c r="Z61" s="1263" t="s">
        <v>306</v>
      </c>
      <c r="AA61" s="1270">
        <v>698</v>
      </c>
      <c r="AB61" s="1270">
        <v>698</v>
      </c>
      <c r="AC61" s="1270">
        <v>595</v>
      </c>
      <c r="AD61" s="1270">
        <v>595</v>
      </c>
      <c r="AE61" s="1270">
        <v>629</v>
      </c>
      <c r="AF61" s="1270">
        <v>668</v>
      </c>
      <c r="AG61" s="1270">
        <v>364</v>
      </c>
      <c r="AH61" s="1270">
        <v>365</v>
      </c>
      <c r="AI61" s="1270">
        <v>475</v>
      </c>
      <c r="AJ61" s="1270">
        <v>475</v>
      </c>
      <c r="AK61" s="1270">
        <v>415</v>
      </c>
      <c r="AL61" s="1270">
        <v>415</v>
      </c>
      <c r="AM61" s="1270"/>
      <c r="AN61" s="1263"/>
      <c r="AO61" s="1263"/>
      <c r="AP61" s="1263" t="str">
        <f ca="1"/>
        <v>ARKLOW BREEZ</v>
      </c>
      <c r="AQ61" s="1263"/>
      <c r="AR61" s="1263"/>
      <c r="AS61" s="1263"/>
      <c r="AT61" s="1263"/>
      <c r="AU61" s="1263"/>
      <c r="AV61" s="1263"/>
      <c r="AW61" s="1263"/>
      <c r="AX61" s="1263"/>
      <c r="AY61" s="1263"/>
      <c r="AZ61" s="1263"/>
      <c r="BA61" s="1263"/>
      <c r="BB61" s="1263"/>
      <c r="BC61" s="1263"/>
      <c r="BD61" s="1263"/>
      <c r="BE61" s="1263"/>
      <c r="BF61" s="1263"/>
      <c r="BG61" s="1263"/>
      <c r="BH61" s="1263"/>
      <c r="BI61" s="1263"/>
      <c r="BJ61" s="1263"/>
      <c r="BK61" s="1263"/>
      <c r="BL61" s="1263"/>
      <c r="BM61" s="1263"/>
      <c r="BN61" s="1263"/>
      <c r="BO61" s="1263"/>
      <c r="BP61" s="1263"/>
      <c r="BQ61" s="1263"/>
      <c r="BR61" s="1263"/>
      <c r="BS61" s="1263"/>
      <c r="BT61" s="1263"/>
      <c r="BU61" s="1263"/>
      <c r="BV61" s="1263"/>
      <c r="BW61" s="1263"/>
      <c r="BX61" s="1263"/>
      <c r="BY61" s="1263"/>
      <c r="BZ61" s="1263"/>
      <c r="CA61" s="1263"/>
      <c r="CB61" s="1263"/>
      <c r="CC61" s="1263"/>
      <c r="CD61" s="1263"/>
      <c r="CE61" s="1263"/>
      <c r="CF61" s="1263"/>
      <c r="CG61" s="1263"/>
      <c r="CH61" s="1263"/>
      <c r="CI61" s="1263"/>
      <c r="CJ61" s="1263"/>
      <c r="CK61" s="1263"/>
      <c r="CL61" s="1263"/>
    </row>
    <row r="62" spans="1:90">
      <c r="A62" s="1264">
        <f t="shared" si="0"/>
        <v>61</v>
      </c>
      <c r="B62" s="1271" t="s">
        <v>435</v>
      </c>
      <c r="C62" s="1263" t="s">
        <v>392</v>
      </c>
      <c r="D62" s="1263" t="s">
        <v>393</v>
      </c>
      <c r="E62" s="1266">
        <v>94</v>
      </c>
      <c r="F62" s="1266">
        <v>99.9</v>
      </c>
      <c r="G62" s="1266">
        <v>3978</v>
      </c>
      <c r="H62" s="1266">
        <v>2262</v>
      </c>
      <c r="I62" s="1266">
        <v>5703.21</v>
      </c>
      <c r="J62" s="1266">
        <v>6.2</v>
      </c>
      <c r="K62" s="1266">
        <v>1960.5</v>
      </c>
      <c r="L62" s="1267">
        <v>87</v>
      </c>
      <c r="M62" s="1266">
        <v>15.6</v>
      </c>
      <c r="N62" s="1263" t="s">
        <v>225</v>
      </c>
      <c r="O62" s="1263" t="s">
        <v>436</v>
      </c>
      <c r="P62" s="1263" t="s">
        <v>303</v>
      </c>
      <c r="Q62" s="1268">
        <v>5092.8770000000004</v>
      </c>
      <c r="R62" s="1268">
        <v>2.56</v>
      </c>
      <c r="S62" s="1269">
        <v>44264</v>
      </c>
      <c r="T62" s="1269">
        <v>44267</v>
      </c>
      <c r="U62" s="1270">
        <v>50</v>
      </c>
      <c r="V62" s="1263" t="s">
        <v>5</v>
      </c>
      <c r="W62" s="1270">
        <v>200</v>
      </c>
      <c r="X62" s="1263" t="s">
        <v>5</v>
      </c>
      <c r="Y62" s="1270">
        <v>0</v>
      </c>
      <c r="Z62" s="1263" t="s">
        <v>306</v>
      </c>
      <c r="AA62" s="1270">
        <v>565</v>
      </c>
      <c r="AB62" s="1270">
        <v>567</v>
      </c>
      <c r="AC62" s="1270">
        <v>650</v>
      </c>
      <c r="AD62" s="1270">
        <v>650</v>
      </c>
      <c r="AE62" s="1270">
        <v>609</v>
      </c>
      <c r="AF62" s="1270">
        <v>611</v>
      </c>
      <c r="AG62" s="1270">
        <v>359</v>
      </c>
      <c r="AH62" s="1270">
        <v>359</v>
      </c>
      <c r="AI62" s="1270">
        <v>332</v>
      </c>
      <c r="AJ62" s="1270">
        <v>332</v>
      </c>
      <c r="AK62" s="1270">
        <v>348</v>
      </c>
      <c r="AL62" s="1270">
        <v>348</v>
      </c>
      <c r="AM62" s="1270"/>
      <c r="AN62" s="1263"/>
      <c r="AO62" s="1263"/>
      <c r="AP62" s="1263" t="str">
        <f ca="1"/>
        <v>OCMIS ADVENTURE</v>
      </c>
      <c r="AQ62" s="1263"/>
      <c r="AR62" s="1263"/>
      <c r="AS62" s="1263"/>
      <c r="AT62" s="1263"/>
      <c r="AU62" s="1263"/>
      <c r="AV62" s="1263"/>
      <c r="AW62" s="1263"/>
      <c r="AX62" s="1263"/>
      <c r="AY62" s="1263"/>
      <c r="AZ62" s="1263"/>
      <c r="BA62" s="1263"/>
      <c r="BB62" s="1263"/>
      <c r="BC62" s="1263"/>
      <c r="BD62" s="1263"/>
      <c r="BE62" s="1263"/>
      <c r="BF62" s="1263"/>
      <c r="BG62" s="1263"/>
      <c r="BH62" s="1263"/>
      <c r="BI62" s="1263"/>
      <c r="BJ62" s="1263"/>
      <c r="BK62" s="1263"/>
      <c r="BL62" s="1263"/>
      <c r="BM62" s="1263"/>
      <c r="BN62" s="1263"/>
      <c r="BO62" s="1263"/>
      <c r="BP62" s="1263"/>
      <c r="BQ62" s="1263"/>
      <c r="BR62" s="1263"/>
      <c r="BS62" s="1263"/>
      <c r="BT62" s="1263"/>
      <c r="BU62" s="1263"/>
      <c r="BV62" s="1263"/>
      <c r="BW62" s="1263"/>
      <c r="BX62" s="1263"/>
      <c r="BY62" s="1263"/>
      <c r="BZ62" s="1263"/>
      <c r="CA62" s="1263"/>
      <c r="CB62" s="1263"/>
      <c r="CC62" s="1263"/>
      <c r="CD62" s="1263"/>
      <c r="CE62" s="1263"/>
      <c r="CF62" s="1263"/>
      <c r="CG62" s="1263"/>
      <c r="CH62" s="1263"/>
      <c r="CI62" s="1263"/>
      <c r="CJ62" s="1263"/>
      <c r="CK62" s="1263"/>
      <c r="CL62" s="1263"/>
    </row>
    <row r="63" spans="1:90">
      <c r="A63" s="1264">
        <f t="shared" si="0"/>
        <v>62</v>
      </c>
      <c r="B63" s="1271" t="s">
        <v>437</v>
      </c>
      <c r="C63" s="1263" t="s">
        <v>374</v>
      </c>
      <c r="D63" s="1263" t="s">
        <v>374</v>
      </c>
      <c r="E63" s="1266">
        <v>125.3</v>
      </c>
      <c r="F63" s="1266">
        <v>133.03</v>
      </c>
      <c r="G63" s="1266">
        <v>6326</v>
      </c>
      <c r="H63" s="1266">
        <v>3251</v>
      </c>
      <c r="I63" s="1266">
        <v>8002</v>
      </c>
      <c r="J63" s="1266">
        <v>7.2889999999999997</v>
      </c>
      <c r="K63" s="1266">
        <v>3618</v>
      </c>
      <c r="L63" s="1267">
        <v>135</v>
      </c>
      <c r="M63" s="1266">
        <v>18.7</v>
      </c>
      <c r="N63" s="1263" t="s">
        <v>404</v>
      </c>
      <c r="O63" s="1263" t="s">
        <v>225</v>
      </c>
      <c r="P63" s="1263" t="s">
        <v>364</v>
      </c>
      <c r="Q63" s="1268">
        <v>5559.9120000000003</v>
      </c>
      <c r="R63" s="1268">
        <v>1.853</v>
      </c>
      <c r="S63" s="1269">
        <v>44378</v>
      </c>
      <c r="T63" s="1269">
        <v>44382</v>
      </c>
      <c r="U63" s="1270">
        <v>0</v>
      </c>
      <c r="V63" s="1263" t="s">
        <v>306</v>
      </c>
      <c r="W63" s="1270">
        <v>0</v>
      </c>
      <c r="X63" s="1263" t="s">
        <v>414</v>
      </c>
      <c r="Y63" s="1270">
        <v>0</v>
      </c>
      <c r="Z63" s="1263" t="s">
        <v>306</v>
      </c>
      <c r="AA63" s="1270">
        <v>613</v>
      </c>
      <c r="AB63" s="1270">
        <v>613</v>
      </c>
      <c r="AC63" s="1270">
        <v>683</v>
      </c>
      <c r="AD63" s="1270">
        <v>683</v>
      </c>
      <c r="AE63" s="1270">
        <v>635</v>
      </c>
      <c r="AF63" s="1270">
        <v>635</v>
      </c>
      <c r="AG63" s="1270">
        <v>244</v>
      </c>
      <c r="AH63" s="1270">
        <v>244</v>
      </c>
      <c r="AI63" s="1270">
        <v>569</v>
      </c>
      <c r="AJ63" s="1270">
        <v>569</v>
      </c>
      <c r="AK63" s="1270">
        <v>385</v>
      </c>
      <c r="AL63" s="1270">
        <v>386</v>
      </c>
      <c r="AM63" s="1270"/>
      <c r="AN63" s="1263"/>
      <c r="AO63" s="1263"/>
      <c r="AP63" s="1263" t="str">
        <f ca="1"/>
        <v>DEUN</v>
      </c>
      <c r="AQ63" s="1263"/>
      <c r="AR63" s="1263"/>
      <c r="AS63" s="1263"/>
      <c r="AT63" s="1263"/>
      <c r="AU63" s="1263"/>
      <c r="AV63" s="1263"/>
      <c r="AW63" s="1263"/>
      <c r="AX63" s="1263"/>
      <c r="AY63" s="1263"/>
      <c r="AZ63" s="1263"/>
      <c r="BA63" s="1263"/>
      <c r="BB63" s="1263"/>
      <c r="BC63" s="1263"/>
      <c r="BD63" s="1263"/>
      <c r="BE63" s="1263"/>
      <c r="BF63" s="1263"/>
      <c r="BG63" s="1263"/>
      <c r="BH63" s="1263"/>
      <c r="BI63" s="1263"/>
      <c r="BJ63" s="1263"/>
      <c r="BK63" s="1263"/>
      <c r="BL63" s="1263"/>
      <c r="BM63" s="1263"/>
      <c r="BN63" s="1263"/>
      <c r="BO63" s="1263"/>
      <c r="BP63" s="1263"/>
      <c r="BQ63" s="1263"/>
      <c r="BR63" s="1263"/>
      <c r="BS63" s="1263"/>
      <c r="BT63" s="1263"/>
      <c r="BU63" s="1263"/>
      <c r="BV63" s="1263"/>
      <c r="BW63" s="1263"/>
      <c r="BX63" s="1263"/>
      <c r="BY63" s="1263"/>
      <c r="BZ63" s="1263"/>
      <c r="CA63" s="1263"/>
      <c r="CB63" s="1263"/>
      <c r="CC63" s="1263"/>
      <c r="CD63" s="1263"/>
      <c r="CE63" s="1263"/>
      <c r="CF63" s="1263"/>
      <c r="CG63" s="1263"/>
      <c r="CH63" s="1263"/>
      <c r="CI63" s="1263"/>
      <c r="CJ63" s="1263"/>
      <c r="CK63" s="1263"/>
      <c r="CL63" s="1263"/>
    </row>
    <row r="64" spans="1:90">
      <c r="A64" s="1264">
        <f t="shared" si="0"/>
        <v>63</v>
      </c>
      <c r="B64" s="1271" t="s">
        <v>438</v>
      </c>
      <c r="C64" s="1263" t="s">
        <v>392</v>
      </c>
      <c r="D64" s="1263" t="s">
        <v>393</v>
      </c>
      <c r="E64" s="1266">
        <v>94</v>
      </c>
      <c r="F64" s="1266">
        <v>99.99</v>
      </c>
      <c r="G64" s="1266">
        <v>3978</v>
      </c>
      <c r="H64" s="1266">
        <v>2262</v>
      </c>
      <c r="I64" s="1266">
        <v>5703.21</v>
      </c>
      <c r="J64" s="1266">
        <v>6.2</v>
      </c>
      <c r="K64" s="1266">
        <v>1960</v>
      </c>
      <c r="L64" s="1267">
        <v>95</v>
      </c>
      <c r="M64" s="1266">
        <v>15.6</v>
      </c>
      <c r="N64" s="1263" t="s">
        <v>439</v>
      </c>
      <c r="O64" s="1263" t="s">
        <v>225</v>
      </c>
      <c r="P64" s="1263" t="s">
        <v>364</v>
      </c>
      <c r="Q64" s="1268">
        <v>5031.3739999999998</v>
      </c>
      <c r="R64" s="1268">
        <v>1.52</v>
      </c>
      <c r="S64" s="1269">
        <v>44250</v>
      </c>
      <c r="T64" s="1269">
        <v>44253</v>
      </c>
      <c r="U64" s="1270">
        <v>50</v>
      </c>
      <c r="V64" s="1263" t="s">
        <v>5</v>
      </c>
      <c r="W64" s="1270">
        <v>200</v>
      </c>
      <c r="X64" s="1263" t="s">
        <v>5</v>
      </c>
      <c r="Y64" s="1270">
        <v>0</v>
      </c>
      <c r="Z64" s="1263" t="s">
        <v>306</v>
      </c>
      <c r="AA64" s="1270">
        <v>599</v>
      </c>
      <c r="AB64" s="1270">
        <v>597</v>
      </c>
      <c r="AC64" s="1270">
        <v>632</v>
      </c>
      <c r="AD64" s="1270">
        <v>632</v>
      </c>
      <c r="AE64" s="1270">
        <v>625</v>
      </c>
      <c r="AF64" s="1270">
        <v>606</v>
      </c>
      <c r="AG64" s="1270">
        <v>347</v>
      </c>
      <c r="AH64" s="1270">
        <v>347</v>
      </c>
      <c r="AI64" s="1270">
        <v>396</v>
      </c>
      <c r="AJ64" s="1270">
        <v>396</v>
      </c>
      <c r="AK64" s="1270">
        <v>370</v>
      </c>
      <c r="AL64" s="1270">
        <v>371</v>
      </c>
      <c r="AM64" s="1270"/>
      <c r="AN64" s="1263"/>
      <c r="AO64" s="1263"/>
      <c r="AP64" s="1263" t="str">
        <f ca="1"/>
        <v>JORD</v>
      </c>
      <c r="AQ64" s="1263"/>
      <c r="AR64" s="1263"/>
      <c r="AS64" s="1263"/>
      <c r="AT64" s="1263"/>
      <c r="AU64" s="1263"/>
      <c r="AV64" s="1263"/>
      <c r="AW64" s="1263"/>
      <c r="AX64" s="1263"/>
      <c r="AY64" s="1263"/>
      <c r="AZ64" s="1263"/>
      <c r="BA64" s="1263"/>
      <c r="BB64" s="1263"/>
      <c r="BC64" s="1263"/>
      <c r="BD64" s="1263"/>
      <c r="BE64" s="1263"/>
      <c r="BF64" s="1263"/>
      <c r="BG64" s="1263"/>
      <c r="BH64" s="1263"/>
      <c r="BI64" s="1263"/>
      <c r="BJ64" s="1263"/>
      <c r="BK64" s="1263"/>
      <c r="BL64" s="1263"/>
      <c r="BM64" s="1263"/>
      <c r="BN64" s="1263"/>
      <c r="BO64" s="1263"/>
      <c r="BP64" s="1263"/>
      <c r="BQ64" s="1263"/>
      <c r="BR64" s="1263"/>
      <c r="BS64" s="1263"/>
      <c r="BT64" s="1263"/>
      <c r="BU64" s="1263"/>
      <c r="BV64" s="1263"/>
      <c r="BW64" s="1263"/>
      <c r="BX64" s="1263"/>
      <c r="BY64" s="1263"/>
      <c r="BZ64" s="1263"/>
      <c r="CA64" s="1263"/>
      <c r="CB64" s="1263"/>
      <c r="CC64" s="1263"/>
      <c r="CD64" s="1263"/>
      <c r="CE64" s="1263"/>
      <c r="CF64" s="1263"/>
      <c r="CG64" s="1263"/>
      <c r="CH64" s="1263"/>
      <c r="CI64" s="1263"/>
      <c r="CJ64" s="1263"/>
      <c r="CK64" s="1263"/>
      <c r="CL64" s="1263"/>
    </row>
    <row r="65" spans="1:90">
      <c r="A65" s="1264">
        <f t="shared" si="0"/>
        <v>64</v>
      </c>
      <c r="B65" s="1271" t="s">
        <v>440</v>
      </c>
      <c r="C65" s="1263" t="s">
        <v>378</v>
      </c>
      <c r="D65" s="1263" t="s">
        <v>379</v>
      </c>
      <c r="E65" s="1266">
        <v>94</v>
      </c>
      <c r="F65" s="1266">
        <v>99.9</v>
      </c>
      <c r="G65" s="1266">
        <v>3995</v>
      </c>
      <c r="H65" s="1266">
        <v>2130</v>
      </c>
      <c r="I65" s="1266">
        <v>5657.8</v>
      </c>
      <c r="J65" s="1266">
        <v>6.2</v>
      </c>
      <c r="K65" s="1266">
        <v>1909.2</v>
      </c>
      <c r="L65" s="1267">
        <v>130</v>
      </c>
      <c r="M65" s="1266">
        <v>15.6</v>
      </c>
      <c r="N65" s="1263" t="s">
        <v>441</v>
      </c>
      <c r="O65" s="1263" t="s">
        <v>225</v>
      </c>
      <c r="P65" s="1263" t="s">
        <v>224</v>
      </c>
      <c r="Q65" s="1268">
        <v>4029.44</v>
      </c>
      <c r="R65" s="1268">
        <v>1.8140000000000001</v>
      </c>
      <c r="S65" s="1269">
        <v>43110</v>
      </c>
      <c r="T65" s="1269">
        <v>43115</v>
      </c>
      <c r="U65" s="1270">
        <v>50</v>
      </c>
      <c r="V65" s="1263" t="s">
        <v>5</v>
      </c>
      <c r="W65" s="1270">
        <v>200</v>
      </c>
      <c r="X65" s="1263" t="s">
        <v>5</v>
      </c>
      <c r="Y65" s="1270">
        <v>0</v>
      </c>
      <c r="Z65" s="1263" t="s">
        <v>306</v>
      </c>
      <c r="AA65" s="1270">
        <v>510</v>
      </c>
      <c r="AB65" s="1270">
        <v>512</v>
      </c>
      <c r="AC65" s="1270">
        <v>605</v>
      </c>
      <c r="AD65" s="1270">
        <v>605</v>
      </c>
      <c r="AE65" s="1270">
        <v>555</v>
      </c>
      <c r="AF65" s="1270">
        <v>567</v>
      </c>
      <c r="AG65" s="1270">
        <v>321</v>
      </c>
      <c r="AH65" s="1270">
        <v>325</v>
      </c>
      <c r="AI65" s="1270">
        <v>459</v>
      </c>
      <c r="AJ65" s="1270">
        <v>459</v>
      </c>
      <c r="AK65" s="1270">
        <v>399.5</v>
      </c>
      <c r="AL65" s="1270">
        <v>388.5</v>
      </c>
      <c r="AM65" s="1270"/>
      <c r="AN65" s="1263"/>
      <c r="AO65" s="1263"/>
      <c r="AP65" s="1263" t="str">
        <f ca="1"/>
        <v>TELMO</v>
      </c>
      <c r="AQ65" s="1263"/>
      <c r="AR65" s="1263"/>
      <c r="AS65" s="1263"/>
      <c r="AT65" s="1263"/>
      <c r="AU65" s="1263"/>
      <c r="AV65" s="1263"/>
      <c r="AW65" s="1263"/>
      <c r="AX65" s="1263"/>
      <c r="AY65" s="1263"/>
      <c r="AZ65" s="1263"/>
      <c r="BA65" s="1263"/>
      <c r="BB65" s="1263"/>
      <c r="BC65" s="1263"/>
      <c r="BD65" s="1263"/>
      <c r="BE65" s="1263"/>
      <c r="BF65" s="1263"/>
      <c r="BG65" s="1263"/>
      <c r="BH65" s="1263"/>
      <c r="BI65" s="1263"/>
      <c r="BJ65" s="1263"/>
      <c r="BK65" s="1263"/>
      <c r="BL65" s="1263"/>
      <c r="BM65" s="1263"/>
      <c r="BN65" s="1263"/>
      <c r="BO65" s="1263"/>
      <c r="BP65" s="1263"/>
      <c r="BQ65" s="1263"/>
      <c r="BR65" s="1263"/>
      <c r="BS65" s="1263"/>
      <c r="BT65" s="1263"/>
      <c r="BU65" s="1263"/>
      <c r="BV65" s="1263"/>
      <c r="BW65" s="1263"/>
      <c r="BX65" s="1263"/>
      <c r="BY65" s="1263"/>
      <c r="BZ65" s="1263"/>
      <c r="CA65" s="1263"/>
      <c r="CB65" s="1263"/>
      <c r="CC65" s="1263"/>
      <c r="CD65" s="1263"/>
      <c r="CE65" s="1263"/>
      <c r="CF65" s="1263"/>
      <c r="CG65" s="1263"/>
      <c r="CH65" s="1263"/>
      <c r="CI65" s="1263"/>
      <c r="CJ65" s="1263"/>
      <c r="CK65" s="1263"/>
      <c r="CL65" s="1263"/>
    </row>
    <row r="66" spans="1:90">
      <c r="A66" s="1264">
        <f t="shared" si="0"/>
        <v>65</v>
      </c>
      <c r="B66" s="1271" t="s">
        <v>442</v>
      </c>
      <c r="C66" s="1263" t="s">
        <v>378</v>
      </c>
      <c r="D66" s="1263" t="s">
        <v>379</v>
      </c>
      <c r="E66" s="1266">
        <v>94</v>
      </c>
      <c r="F66" s="1266">
        <v>99.9</v>
      </c>
      <c r="G66" s="1266">
        <v>3995</v>
      </c>
      <c r="H66" s="1266">
        <v>2130</v>
      </c>
      <c r="I66" s="1266">
        <v>5658.6</v>
      </c>
      <c r="J66" s="1266">
        <v>6.2</v>
      </c>
      <c r="K66" s="1266">
        <v>1909.2</v>
      </c>
      <c r="L66" s="1267">
        <v>100</v>
      </c>
      <c r="M66" s="1266">
        <v>15.6</v>
      </c>
      <c r="N66" s="1263" t="s">
        <v>443</v>
      </c>
      <c r="O66" s="1263" t="s">
        <v>225</v>
      </c>
      <c r="P66" s="1263" t="s">
        <v>224</v>
      </c>
      <c r="Q66" s="1268">
        <v>3995.3910000000001</v>
      </c>
      <c r="R66" s="1268">
        <v>1.41</v>
      </c>
      <c r="S66" s="1272">
        <v>44378</v>
      </c>
      <c r="T66" s="1272">
        <v>44381</v>
      </c>
      <c r="U66" s="1270">
        <v>50</v>
      </c>
      <c r="V66" s="1273" t="s">
        <v>5</v>
      </c>
      <c r="W66" s="1270">
        <v>200</v>
      </c>
      <c r="X66" s="1263">
        <v>1</v>
      </c>
      <c r="Y66" s="1270">
        <v>0</v>
      </c>
      <c r="Z66" s="1263" t="s">
        <v>306</v>
      </c>
      <c r="AA66" s="1270">
        <v>536</v>
      </c>
      <c r="AB66" s="1270">
        <v>536</v>
      </c>
      <c r="AC66" s="1270">
        <v>625</v>
      </c>
      <c r="AD66" s="1270">
        <v>625</v>
      </c>
      <c r="AE66" s="1270">
        <v>585</v>
      </c>
      <c r="AF66" s="1270">
        <v>578</v>
      </c>
      <c r="AG66" s="1270">
        <v>390</v>
      </c>
      <c r="AH66" s="1270">
        <v>390</v>
      </c>
      <c r="AI66" s="1270">
        <v>391</v>
      </c>
      <c r="AJ66" s="1270">
        <v>391</v>
      </c>
      <c r="AK66" s="1270">
        <v>383</v>
      </c>
      <c r="AL66" s="1270">
        <v>395</v>
      </c>
      <c r="AM66" s="1270"/>
      <c r="AN66" s="1263"/>
      <c r="AO66" s="1263"/>
      <c r="AP66" s="1263" t="str">
        <f ca="1"/>
        <v>ANZORAS</v>
      </c>
      <c r="AQ66" s="1263"/>
      <c r="AR66" s="1263"/>
      <c r="AS66" s="1263"/>
      <c r="AT66" s="1263"/>
      <c r="AU66" s="1263"/>
      <c r="AV66" s="1263"/>
      <c r="AW66" s="1263"/>
      <c r="AX66" s="1263"/>
      <c r="AY66" s="1263"/>
      <c r="AZ66" s="1263"/>
      <c r="BA66" s="1263"/>
      <c r="BB66" s="1263"/>
      <c r="BC66" s="1263"/>
      <c r="BD66" s="1263"/>
      <c r="BE66" s="1263"/>
      <c r="BF66" s="1263"/>
      <c r="BG66" s="1263"/>
      <c r="BH66" s="1263"/>
      <c r="BI66" s="1263"/>
      <c r="BJ66" s="1263"/>
      <c r="BK66" s="1263"/>
      <c r="BL66" s="1263"/>
      <c r="BM66" s="1263"/>
      <c r="BN66" s="1263"/>
      <c r="BO66" s="1263"/>
      <c r="BP66" s="1263"/>
      <c r="BQ66" s="1263"/>
      <c r="BR66" s="1263"/>
      <c r="BS66" s="1263"/>
      <c r="BT66" s="1263"/>
      <c r="BU66" s="1263"/>
      <c r="BV66" s="1263"/>
      <c r="BW66" s="1263"/>
      <c r="BX66" s="1263"/>
      <c r="BY66" s="1263"/>
      <c r="BZ66" s="1263"/>
      <c r="CA66" s="1263"/>
      <c r="CB66" s="1263"/>
      <c r="CC66" s="1263"/>
      <c r="CD66" s="1263"/>
      <c r="CE66" s="1263"/>
      <c r="CF66" s="1263"/>
      <c r="CG66" s="1263"/>
      <c r="CH66" s="1263"/>
      <c r="CI66" s="1263"/>
      <c r="CJ66" s="1263"/>
      <c r="CK66" s="1263"/>
      <c r="CL66" s="1263"/>
    </row>
    <row r="67" spans="1:90">
      <c r="A67" s="1264">
        <f t="shared" ref="A67:A130" si="1">IF(B67="","",ROW(A66))</f>
        <v>66</v>
      </c>
      <c r="B67" s="1271" t="s">
        <v>444</v>
      </c>
      <c r="C67" s="1263" t="s">
        <v>300</v>
      </c>
      <c r="D67" s="1263" t="s">
        <v>301</v>
      </c>
      <c r="E67" s="1266">
        <v>84.98</v>
      </c>
      <c r="F67" s="1266">
        <v>89.99</v>
      </c>
      <c r="G67" s="1266">
        <v>2999</v>
      </c>
      <c r="H67" s="1266">
        <v>1639</v>
      </c>
      <c r="I67" s="1266">
        <v>4960</v>
      </c>
      <c r="J67" s="1266">
        <v>6.1</v>
      </c>
      <c r="K67" s="1266">
        <v>1459</v>
      </c>
      <c r="L67" s="1267">
        <v>50</v>
      </c>
      <c r="M67" s="1266">
        <v>14</v>
      </c>
      <c r="N67" s="1263" t="s">
        <v>225</v>
      </c>
      <c r="O67" s="1263" t="s">
        <v>302</v>
      </c>
      <c r="P67" s="1263" t="s">
        <v>303</v>
      </c>
      <c r="Q67" s="1268">
        <v>3521.1039999999998</v>
      </c>
      <c r="R67" s="1268">
        <v>0.86</v>
      </c>
      <c r="S67" s="1272">
        <v>44410</v>
      </c>
      <c r="T67" s="1272">
        <v>44411</v>
      </c>
      <c r="U67" s="1270">
        <v>20</v>
      </c>
      <c r="V67" s="1273" t="s">
        <v>5</v>
      </c>
      <c r="W67" s="1270">
        <v>190</v>
      </c>
      <c r="X67" s="1263" t="s">
        <v>5</v>
      </c>
      <c r="Y67" s="1270">
        <v>0</v>
      </c>
      <c r="Z67" s="1263" t="s">
        <v>306</v>
      </c>
      <c r="AA67" s="1270">
        <v>528</v>
      </c>
      <c r="AB67" s="1270">
        <v>528</v>
      </c>
      <c r="AC67" s="1270">
        <v>541</v>
      </c>
      <c r="AD67" s="1270">
        <v>541</v>
      </c>
      <c r="AE67" s="1270">
        <v>546.20000000000005</v>
      </c>
      <c r="AF67" s="1270">
        <v>521.70000000000005</v>
      </c>
      <c r="AG67" s="1270">
        <v>587</v>
      </c>
      <c r="AH67" s="1270">
        <v>587</v>
      </c>
      <c r="AI67" s="1270">
        <v>621</v>
      </c>
      <c r="AJ67" s="1270">
        <v>621</v>
      </c>
      <c r="AK67" s="1270">
        <v>609.20000000000005</v>
      </c>
      <c r="AL67" s="1270">
        <v>600.20000000000005</v>
      </c>
      <c r="AM67" s="1270"/>
      <c r="AN67" s="1263"/>
      <c r="AO67" s="1263"/>
      <c r="AP67" s="1263" t="str">
        <f ca="1"/>
        <v>ALBIZ</v>
      </c>
      <c r="AQ67" s="1263"/>
      <c r="AR67" s="1263"/>
      <c r="AS67" s="1263"/>
      <c r="AT67" s="1263"/>
      <c r="AU67" s="1263"/>
      <c r="AV67" s="1263"/>
      <c r="AW67" s="1263"/>
      <c r="AX67" s="1263"/>
      <c r="AY67" s="1263"/>
      <c r="AZ67" s="1263"/>
      <c r="BA67" s="1263"/>
      <c r="BB67" s="1263"/>
      <c r="BC67" s="1263"/>
      <c r="BD67" s="1263"/>
      <c r="BE67" s="1263"/>
      <c r="BF67" s="1263"/>
      <c r="BG67" s="1263"/>
      <c r="BH67" s="1263"/>
      <c r="BI67" s="1263"/>
      <c r="BJ67" s="1263"/>
      <c r="BK67" s="1263"/>
      <c r="BL67" s="1263"/>
      <c r="BM67" s="1263"/>
      <c r="BN67" s="1263"/>
      <c r="BO67" s="1263"/>
      <c r="BP67" s="1263"/>
      <c r="BQ67" s="1263"/>
      <c r="BR67" s="1263"/>
      <c r="BS67" s="1263"/>
      <c r="BT67" s="1263"/>
      <c r="BU67" s="1263"/>
      <c r="BV67" s="1263"/>
      <c r="BW67" s="1263"/>
      <c r="BX67" s="1263"/>
      <c r="BY67" s="1263"/>
      <c r="BZ67" s="1263"/>
      <c r="CA67" s="1263"/>
      <c r="CB67" s="1263"/>
      <c r="CC67" s="1263"/>
      <c r="CD67" s="1263"/>
      <c r="CE67" s="1263"/>
      <c r="CF67" s="1263"/>
      <c r="CG67" s="1263"/>
      <c r="CH67" s="1263"/>
      <c r="CI67" s="1263"/>
      <c r="CJ67" s="1263"/>
      <c r="CK67" s="1263"/>
      <c r="CL67" s="1263"/>
    </row>
    <row r="68" spans="1:90">
      <c r="A68" s="1264">
        <f t="shared" si="1"/>
        <v>67</v>
      </c>
      <c r="B68" s="1271" t="s">
        <v>445</v>
      </c>
      <c r="C68" s="1263" t="s">
        <v>446</v>
      </c>
      <c r="D68" s="1263" t="s">
        <v>447</v>
      </c>
      <c r="E68" s="1266">
        <v>84.9</v>
      </c>
      <c r="F68" s="1266">
        <v>94.4</v>
      </c>
      <c r="G68" s="1266">
        <v>3985</v>
      </c>
      <c r="H68" s="1266">
        <v>1977</v>
      </c>
      <c r="I68" s="1266">
        <v>7199.98</v>
      </c>
      <c r="J68" s="1266">
        <v>8.4499999999999993</v>
      </c>
      <c r="K68" s="1266">
        <v>1921.3910000000001</v>
      </c>
      <c r="L68" s="1267">
        <v>95</v>
      </c>
      <c r="M68" s="1266">
        <v>16</v>
      </c>
      <c r="N68" s="1263" t="s">
        <v>443</v>
      </c>
      <c r="O68" s="1263" t="s">
        <v>225</v>
      </c>
      <c r="P68" s="1263" t="s">
        <v>224</v>
      </c>
      <c r="Q68" s="1268">
        <v>3766.9859999999999</v>
      </c>
      <c r="R68" s="1268">
        <v>1.8049999999999999</v>
      </c>
      <c r="S68" s="1272">
        <v>44256</v>
      </c>
      <c r="T68" s="1272">
        <v>44258</v>
      </c>
      <c r="U68" s="1270">
        <v>30</v>
      </c>
      <c r="V68" s="1273" t="s">
        <v>5</v>
      </c>
      <c r="W68" s="1270">
        <v>480</v>
      </c>
      <c r="X68" s="1263" t="s">
        <v>226</v>
      </c>
      <c r="Y68" s="1270">
        <v>0</v>
      </c>
      <c r="Z68" s="1263" t="s">
        <v>306</v>
      </c>
      <c r="AA68" s="1270">
        <v>610</v>
      </c>
      <c r="AB68" s="1270">
        <v>610</v>
      </c>
      <c r="AC68" s="1270">
        <v>669</v>
      </c>
      <c r="AD68" s="1270">
        <v>669</v>
      </c>
      <c r="AE68" s="1270">
        <v>639</v>
      </c>
      <c r="AF68" s="1270">
        <v>649</v>
      </c>
      <c r="AG68" s="1270">
        <v>288</v>
      </c>
      <c r="AH68" s="1270">
        <v>288</v>
      </c>
      <c r="AI68" s="1270">
        <v>368</v>
      </c>
      <c r="AJ68" s="1270">
        <v>368</v>
      </c>
      <c r="AK68" s="1270">
        <v>330</v>
      </c>
      <c r="AL68" s="1270">
        <v>330</v>
      </c>
      <c r="AM68" s="1270"/>
      <c r="AN68" s="1263"/>
      <c r="AO68" s="1263"/>
      <c r="AP68" s="1263" t="str">
        <f ca="1"/>
        <v>FRI LIEPAJA</v>
      </c>
      <c r="AQ68" s="1263"/>
      <c r="AR68" s="1263"/>
      <c r="AS68" s="1263"/>
      <c r="AT68" s="1263"/>
      <c r="AU68" s="1263"/>
      <c r="AV68" s="1263"/>
      <c r="AW68" s="1263"/>
      <c r="AX68" s="1263"/>
      <c r="AY68" s="1263"/>
      <c r="AZ68" s="1263"/>
      <c r="BA68" s="1263"/>
      <c r="BB68" s="1263"/>
      <c r="BC68" s="1263"/>
      <c r="BD68" s="1263"/>
      <c r="BE68" s="1263"/>
      <c r="BF68" s="1263"/>
      <c r="BG68" s="1263"/>
      <c r="BH68" s="1263"/>
      <c r="BI68" s="1263"/>
      <c r="BJ68" s="1263"/>
      <c r="BK68" s="1263"/>
      <c r="BL68" s="1263"/>
      <c r="BM68" s="1263"/>
      <c r="BN68" s="1263"/>
      <c r="BO68" s="1263"/>
      <c r="BP68" s="1263"/>
      <c r="BQ68" s="1263"/>
      <c r="BR68" s="1263"/>
      <c r="BS68" s="1263"/>
      <c r="BT68" s="1263"/>
      <c r="BU68" s="1263"/>
      <c r="BV68" s="1263"/>
      <c r="BW68" s="1263"/>
      <c r="BX68" s="1263"/>
      <c r="BY68" s="1263"/>
      <c r="BZ68" s="1263"/>
      <c r="CA68" s="1263"/>
      <c r="CB68" s="1263"/>
      <c r="CC68" s="1263"/>
      <c r="CD68" s="1263"/>
      <c r="CE68" s="1263"/>
      <c r="CF68" s="1263"/>
      <c r="CG68" s="1263"/>
      <c r="CH68" s="1263"/>
      <c r="CI68" s="1263"/>
      <c r="CJ68" s="1263"/>
      <c r="CK68" s="1263"/>
      <c r="CL68" s="1263"/>
    </row>
    <row r="69" spans="1:90">
      <c r="A69" s="1264">
        <f t="shared" si="1"/>
        <v>68</v>
      </c>
      <c r="B69" s="1271" t="s">
        <v>448</v>
      </c>
      <c r="C69" s="1263" t="s">
        <v>412</v>
      </c>
      <c r="D69" s="1263" t="s">
        <v>413</v>
      </c>
      <c r="E69" s="1266">
        <v>99.98</v>
      </c>
      <c r="F69" s="1266">
        <v>106.04</v>
      </c>
      <c r="G69" s="1266">
        <v>4220</v>
      </c>
      <c r="H69" s="1266">
        <v>2456</v>
      </c>
      <c r="I69" s="1266">
        <v>5627.4</v>
      </c>
      <c r="J69" s="1266">
        <v>5.97</v>
      </c>
      <c r="K69" s="1266">
        <v>2366.6</v>
      </c>
      <c r="L69" s="1267">
        <v>100</v>
      </c>
      <c r="M69" s="1266">
        <v>15.2</v>
      </c>
      <c r="N69" s="1263" t="s">
        <v>449</v>
      </c>
      <c r="O69" s="1263" t="s">
        <v>225</v>
      </c>
      <c r="P69" s="1263" t="s">
        <v>224</v>
      </c>
      <c r="Q69" s="1268">
        <v>4972.2150000000001</v>
      </c>
      <c r="R69" s="1268">
        <v>2.0299999999999998</v>
      </c>
      <c r="S69" s="1272">
        <v>44563</v>
      </c>
      <c r="T69" s="1272">
        <v>44565</v>
      </c>
      <c r="U69" s="1270">
        <v>130</v>
      </c>
      <c r="V69" s="1273" t="s">
        <v>5</v>
      </c>
      <c r="W69" s="1270">
        <v>270</v>
      </c>
      <c r="X69" s="1263" t="s">
        <v>5</v>
      </c>
      <c r="Y69" s="1270">
        <v>0</v>
      </c>
      <c r="Z69" s="1263" t="s">
        <v>306</v>
      </c>
      <c r="AA69" s="1270">
        <v>578</v>
      </c>
      <c r="AB69" s="1270">
        <v>578</v>
      </c>
      <c r="AC69" s="1270">
        <v>594</v>
      </c>
      <c r="AD69" s="1270">
        <v>594</v>
      </c>
      <c r="AE69" s="1270">
        <v>594</v>
      </c>
      <c r="AF69" s="1270">
        <v>592</v>
      </c>
      <c r="AG69" s="1270">
        <v>210</v>
      </c>
      <c r="AH69" s="1270">
        <v>210</v>
      </c>
      <c r="AI69" s="1270">
        <v>320</v>
      </c>
      <c r="AJ69" s="1270">
        <v>320</v>
      </c>
      <c r="AK69" s="1270">
        <v>268</v>
      </c>
      <c r="AL69" s="1270">
        <v>274</v>
      </c>
      <c r="AM69" s="1270"/>
      <c r="AN69" s="1263"/>
      <c r="AO69" s="1263"/>
      <c r="AP69" s="1263" t="str">
        <f ca="1"/>
        <v>HAMMER</v>
      </c>
      <c r="AQ69" s="1263"/>
      <c r="AR69" s="1263"/>
      <c r="AS69" s="1263"/>
      <c r="AT69" s="1263"/>
      <c r="AU69" s="1263"/>
      <c r="AV69" s="1263"/>
      <c r="AW69" s="1263"/>
      <c r="AX69" s="1263"/>
      <c r="AY69" s="1263"/>
      <c r="AZ69" s="1263"/>
      <c r="BA69" s="1263"/>
      <c r="BB69" s="1263"/>
      <c r="BC69" s="1263"/>
      <c r="BD69" s="1263"/>
      <c r="BE69" s="1263"/>
      <c r="BF69" s="1263"/>
      <c r="BG69" s="1263"/>
      <c r="BH69" s="1263"/>
      <c r="BI69" s="1263"/>
      <c r="BJ69" s="1263"/>
      <c r="BK69" s="1263"/>
      <c r="BL69" s="1263"/>
      <c r="BM69" s="1263"/>
      <c r="BN69" s="1263"/>
      <c r="BO69" s="1263"/>
      <c r="BP69" s="1263"/>
      <c r="BQ69" s="1263"/>
      <c r="BR69" s="1263"/>
      <c r="BS69" s="1263"/>
      <c r="BT69" s="1263"/>
      <c r="BU69" s="1263"/>
      <c r="BV69" s="1263"/>
      <c r="BW69" s="1263"/>
      <c r="BX69" s="1263"/>
      <c r="BY69" s="1263"/>
      <c r="BZ69" s="1263"/>
      <c r="CA69" s="1263"/>
      <c r="CB69" s="1263"/>
      <c r="CC69" s="1263"/>
      <c r="CD69" s="1263"/>
      <c r="CE69" s="1263"/>
      <c r="CF69" s="1263"/>
      <c r="CG69" s="1263"/>
      <c r="CH69" s="1263"/>
      <c r="CI69" s="1263"/>
      <c r="CJ69" s="1263"/>
      <c r="CK69" s="1263"/>
      <c r="CL69" s="1263"/>
    </row>
    <row r="70" spans="1:90">
      <c r="A70" s="1264">
        <f t="shared" si="1"/>
        <v>69</v>
      </c>
      <c r="B70" s="1271" t="s">
        <v>450</v>
      </c>
      <c r="C70" s="1263" t="s">
        <v>412</v>
      </c>
      <c r="D70" s="1263" t="s">
        <v>413</v>
      </c>
      <c r="E70" s="1266">
        <v>102.98</v>
      </c>
      <c r="F70" s="1266">
        <v>108.4</v>
      </c>
      <c r="G70" s="1266">
        <v>4358</v>
      </c>
      <c r="H70" s="1266">
        <v>2525</v>
      </c>
      <c r="I70" s="1266">
        <v>5732.5</v>
      </c>
      <c r="J70" s="1266">
        <v>5.88</v>
      </c>
      <c r="K70" s="1266">
        <v>2577.65</v>
      </c>
      <c r="L70" s="1267">
        <v>100</v>
      </c>
      <c r="M70" s="1266">
        <v>15.6</v>
      </c>
      <c r="N70" s="1263" t="s">
        <v>443</v>
      </c>
      <c r="O70" s="1263" t="s">
        <v>225</v>
      </c>
      <c r="P70" s="1263" t="s">
        <v>224</v>
      </c>
      <c r="Q70" s="1268">
        <v>3994.08</v>
      </c>
      <c r="R70" s="1268">
        <v>2.02</v>
      </c>
      <c r="S70" s="1272">
        <v>44472</v>
      </c>
      <c r="T70" s="1272">
        <v>44474</v>
      </c>
      <c r="U70" s="1270">
        <v>128</v>
      </c>
      <c r="V70" s="1273" t="s">
        <v>5</v>
      </c>
      <c r="W70" s="1270">
        <v>270</v>
      </c>
      <c r="X70" s="1263" t="s">
        <v>5</v>
      </c>
      <c r="Y70" s="1270">
        <v>274</v>
      </c>
      <c r="Z70" s="1263" t="s">
        <v>5</v>
      </c>
      <c r="AA70" s="1270">
        <v>500</v>
      </c>
      <c r="AB70" s="1270">
        <v>500</v>
      </c>
      <c r="AC70" s="1270">
        <v>528</v>
      </c>
      <c r="AD70" s="1270">
        <v>528</v>
      </c>
      <c r="AE70" s="1270">
        <v>522</v>
      </c>
      <c r="AF70" s="1270">
        <v>519</v>
      </c>
      <c r="AG70" s="1270">
        <v>285</v>
      </c>
      <c r="AH70" s="1270">
        <v>295</v>
      </c>
      <c r="AI70" s="1270">
        <v>356</v>
      </c>
      <c r="AJ70" s="1270">
        <v>375</v>
      </c>
      <c r="AK70" s="1270">
        <v>319</v>
      </c>
      <c r="AL70" s="1270">
        <v>355</v>
      </c>
      <c r="AM70" s="1270"/>
      <c r="AN70" s="1263"/>
      <c r="AO70" s="1263"/>
      <c r="AP70" s="1263" t="str">
        <f ca="1"/>
        <v>JADELAND</v>
      </c>
      <c r="AQ70" s="1263"/>
      <c r="AR70" s="1263"/>
      <c r="AS70" s="1263"/>
      <c r="AT70" s="1263"/>
      <c r="AU70" s="1263"/>
      <c r="AV70" s="1263"/>
      <c r="AW70" s="1263"/>
      <c r="AX70" s="1263"/>
      <c r="AY70" s="1263"/>
      <c r="AZ70" s="1263"/>
      <c r="BA70" s="1263"/>
      <c r="BB70" s="1263"/>
      <c r="BC70" s="1263"/>
      <c r="BD70" s="1263"/>
      <c r="BE70" s="1263"/>
      <c r="BF70" s="1263"/>
      <c r="BG70" s="1263"/>
      <c r="BH70" s="1263"/>
      <c r="BI70" s="1263"/>
      <c r="BJ70" s="1263"/>
      <c r="BK70" s="1263"/>
      <c r="BL70" s="1263"/>
      <c r="BM70" s="1263"/>
      <c r="BN70" s="1263"/>
      <c r="BO70" s="1263"/>
      <c r="BP70" s="1263"/>
      <c r="BQ70" s="1263"/>
      <c r="BR70" s="1263"/>
      <c r="BS70" s="1263"/>
      <c r="BT70" s="1263"/>
      <c r="BU70" s="1263"/>
      <c r="BV70" s="1263"/>
      <c r="BW70" s="1263"/>
      <c r="BX70" s="1263"/>
      <c r="BY70" s="1263"/>
      <c r="BZ70" s="1263"/>
      <c r="CA70" s="1263"/>
      <c r="CB70" s="1263"/>
      <c r="CC70" s="1263"/>
      <c r="CD70" s="1263"/>
      <c r="CE70" s="1263"/>
      <c r="CF70" s="1263"/>
      <c r="CG70" s="1263"/>
      <c r="CH70" s="1263"/>
      <c r="CI70" s="1263"/>
      <c r="CJ70" s="1263"/>
      <c r="CK70" s="1263"/>
      <c r="CL70" s="1263"/>
    </row>
    <row r="71" spans="1:90">
      <c r="A71" s="1264">
        <f t="shared" si="1"/>
        <v>70</v>
      </c>
      <c r="B71" s="1271" t="s">
        <v>451</v>
      </c>
      <c r="C71" s="1263" t="s">
        <v>392</v>
      </c>
      <c r="D71" s="1263" t="s">
        <v>393</v>
      </c>
      <c r="E71" s="1266">
        <v>102.98</v>
      </c>
      <c r="F71" s="1266">
        <v>108.4</v>
      </c>
      <c r="G71" s="1266">
        <v>4358</v>
      </c>
      <c r="H71" s="1266">
        <v>2525</v>
      </c>
      <c r="I71" s="1266">
        <v>5745.61</v>
      </c>
      <c r="J71" s="1266">
        <v>5.88</v>
      </c>
      <c r="K71" s="1266">
        <v>2564.59</v>
      </c>
      <c r="L71" s="1267">
        <v>110</v>
      </c>
      <c r="M71" s="1266">
        <v>15.2</v>
      </c>
      <c r="N71" s="1263" t="s">
        <v>452</v>
      </c>
      <c r="O71" s="1263" t="s">
        <v>225</v>
      </c>
      <c r="P71" s="1263" t="s">
        <v>224</v>
      </c>
      <c r="Q71" s="1268">
        <v>3998.28</v>
      </c>
      <c r="R71" s="1268">
        <v>2.0299999999999998</v>
      </c>
      <c r="S71" s="1272">
        <v>44536</v>
      </c>
      <c r="T71" s="1272">
        <v>44537</v>
      </c>
      <c r="U71" s="1270">
        <v>132</v>
      </c>
      <c r="V71" s="1273" t="s">
        <v>5</v>
      </c>
      <c r="W71" s="1270">
        <v>270</v>
      </c>
      <c r="X71" s="1263" t="s">
        <v>5</v>
      </c>
      <c r="Y71" s="1270">
        <v>303</v>
      </c>
      <c r="Z71" s="1263" t="s">
        <v>5</v>
      </c>
      <c r="AA71" s="1270">
        <v>505</v>
      </c>
      <c r="AB71" s="1270">
        <v>505</v>
      </c>
      <c r="AC71" s="1270">
        <v>553</v>
      </c>
      <c r="AD71" s="1270">
        <v>553</v>
      </c>
      <c r="AE71" s="1270">
        <v>540</v>
      </c>
      <c r="AF71" s="1270">
        <v>541</v>
      </c>
      <c r="AG71" s="1270">
        <v>210</v>
      </c>
      <c r="AH71" s="1270">
        <v>210</v>
      </c>
      <c r="AI71" s="1270">
        <v>350</v>
      </c>
      <c r="AJ71" s="1270">
        <v>350</v>
      </c>
      <c r="AK71" s="1270">
        <v>280</v>
      </c>
      <c r="AL71" s="1270">
        <v>280</v>
      </c>
      <c r="AM71" s="1270"/>
      <c r="AN71" s="1263"/>
      <c r="AO71" s="1263"/>
      <c r="AP71" s="1263" t="str">
        <f ca="1"/>
        <v>LAPISLAD</v>
      </c>
      <c r="AQ71" s="1263"/>
      <c r="AR71" s="1263"/>
      <c r="AS71" s="1263"/>
      <c r="AT71" s="1263"/>
      <c r="AU71" s="1263"/>
      <c r="AV71" s="1263"/>
      <c r="AW71" s="1263"/>
      <c r="AX71" s="1263"/>
      <c r="AY71" s="1263"/>
      <c r="AZ71" s="1263"/>
      <c r="BA71" s="1263"/>
      <c r="BB71" s="1263"/>
      <c r="BC71" s="1263"/>
      <c r="BD71" s="1263"/>
      <c r="BE71" s="1263"/>
      <c r="BF71" s="1263"/>
      <c r="BG71" s="1263"/>
      <c r="BH71" s="1263"/>
      <c r="BI71" s="1263"/>
      <c r="BJ71" s="1263"/>
      <c r="BK71" s="1263"/>
      <c r="BL71" s="1263"/>
      <c r="BM71" s="1263"/>
      <c r="BN71" s="1263"/>
      <c r="BO71" s="1263"/>
      <c r="BP71" s="1263"/>
      <c r="BQ71" s="1263"/>
      <c r="BR71" s="1263"/>
      <c r="BS71" s="1263"/>
      <c r="BT71" s="1263"/>
      <c r="BU71" s="1263"/>
      <c r="BV71" s="1263"/>
      <c r="BW71" s="1263"/>
      <c r="BX71" s="1263"/>
      <c r="BY71" s="1263"/>
      <c r="BZ71" s="1263"/>
      <c r="CA71" s="1263"/>
      <c r="CB71" s="1263"/>
      <c r="CC71" s="1263"/>
      <c r="CD71" s="1263"/>
      <c r="CE71" s="1263"/>
      <c r="CF71" s="1263"/>
      <c r="CG71" s="1263"/>
      <c r="CH71" s="1263"/>
      <c r="CI71" s="1263"/>
      <c r="CJ71" s="1263"/>
      <c r="CK71" s="1263"/>
      <c r="CL71" s="1263"/>
    </row>
    <row r="72" spans="1:90">
      <c r="A72" s="1264">
        <f t="shared" si="1"/>
        <v>71</v>
      </c>
      <c r="B72" s="1271" t="s">
        <v>453</v>
      </c>
      <c r="C72" s="1263" t="s">
        <v>454</v>
      </c>
      <c r="D72" s="1263" t="s">
        <v>455</v>
      </c>
      <c r="E72" s="1266">
        <v>94.22</v>
      </c>
      <c r="F72" s="1266">
        <v>101.5</v>
      </c>
      <c r="G72" s="1266">
        <v>4189</v>
      </c>
      <c r="H72" s="1266">
        <v>2260</v>
      </c>
      <c r="I72" s="1266">
        <v>6373</v>
      </c>
      <c r="J72" s="1266">
        <v>7.5739999999999998</v>
      </c>
      <c r="K72" s="1266">
        <v>2225.8000000000002</v>
      </c>
      <c r="L72" s="1267">
        <v>80</v>
      </c>
      <c r="M72" s="1266">
        <v>16.399999999999999</v>
      </c>
      <c r="N72" s="1263" t="s">
        <v>456</v>
      </c>
      <c r="O72" s="1263" t="s">
        <v>225</v>
      </c>
      <c r="P72" s="1263" t="s">
        <v>224</v>
      </c>
      <c r="Q72" s="1268">
        <v>3999.52</v>
      </c>
      <c r="R72" s="1268">
        <v>2.0259999999999998</v>
      </c>
      <c r="S72" s="1272">
        <v>44364</v>
      </c>
      <c r="T72" s="1272">
        <v>44367</v>
      </c>
      <c r="U72" s="1270">
        <v>38.700000000000003</v>
      </c>
      <c r="V72" s="1273" t="s">
        <v>5</v>
      </c>
      <c r="W72" s="1270">
        <v>23</v>
      </c>
      <c r="X72" s="1263" t="s">
        <v>226</v>
      </c>
      <c r="Y72" s="1270">
        <v>0</v>
      </c>
      <c r="Z72" s="1263" t="s">
        <v>306</v>
      </c>
      <c r="AA72" s="1270">
        <v>650</v>
      </c>
      <c r="AB72" s="1270">
        <v>650</v>
      </c>
      <c r="AC72" s="1270">
        <v>673</v>
      </c>
      <c r="AD72" s="1270">
        <v>673</v>
      </c>
      <c r="AE72" s="1270">
        <v>663</v>
      </c>
      <c r="AF72" s="1270">
        <v>665</v>
      </c>
      <c r="AG72" s="1270">
        <v>255</v>
      </c>
      <c r="AH72" s="1270">
        <v>255</v>
      </c>
      <c r="AI72" s="1270">
        <v>458</v>
      </c>
      <c r="AJ72" s="1270">
        <v>458</v>
      </c>
      <c r="AK72" s="1270">
        <v>365</v>
      </c>
      <c r="AL72" s="1270">
        <v>365</v>
      </c>
      <c r="AM72" s="1270"/>
      <c r="AN72" s="1263"/>
      <c r="AO72" s="1263"/>
      <c r="AP72" s="1263" t="str">
        <f ca="1"/>
        <v>MSM DOLORE</v>
      </c>
      <c r="AQ72" s="1263"/>
      <c r="AR72" s="1263"/>
      <c r="AS72" s="1263"/>
      <c r="AT72" s="1263"/>
      <c r="AU72" s="1263"/>
      <c r="AV72" s="1263"/>
      <c r="AW72" s="1263"/>
      <c r="AX72" s="1263"/>
      <c r="AY72" s="1263"/>
      <c r="AZ72" s="1263"/>
      <c r="BA72" s="1263"/>
      <c r="BB72" s="1263"/>
      <c r="BC72" s="1263"/>
      <c r="BD72" s="1263"/>
      <c r="BE72" s="1263"/>
      <c r="BF72" s="1263"/>
      <c r="BG72" s="1263"/>
      <c r="BH72" s="1263"/>
      <c r="BI72" s="1263"/>
      <c r="BJ72" s="1263"/>
      <c r="BK72" s="1263"/>
      <c r="BL72" s="1263"/>
      <c r="BM72" s="1263"/>
      <c r="BN72" s="1263"/>
      <c r="BO72" s="1263"/>
      <c r="BP72" s="1263"/>
      <c r="BQ72" s="1263"/>
      <c r="BR72" s="1263"/>
      <c r="BS72" s="1263"/>
      <c r="BT72" s="1263"/>
      <c r="BU72" s="1263"/>
      <c r="BV72" s="1263"/>
      <c r="BW72" s="1263"/>
      <c r="BX72" s="1263"/>
      <c r="BY72" s="1263"/>
      <c r="BZ72" s="1263"/>
      <c r="CA72" s="1263"/>
      <c r="CB72" s="1263"/>
      <c r="CC72" s="1263"/>
      <c r="CD72" s="1263"/>
      <c r="CE72" s="1263"/>
      <c r="CF72" s="1263"/>
      <c r="CG72" s="1263"/>
      <c r="CH72" s="1263"/>
      <c r="CI72" s="1263"/>
      <c r="CJ72" s="1263"/>
      <c r="CK72" s="1263"/>
      <c r="CL72" s="1263"/>
    </row>
    <row r="73" spans="1:90">
      <c r="A73" s="1264">
        <f t="shared" si="1"/>
        <v>72</v>
      </c>
      <c r="B73" s="1271" t="s">
        <v>457</v>
      </c>
      <c r="C73" s="1263" t="s">
        <v>458</v>
      </c>
      <c r="D73" s="1263" t="s">
        <v>459</v>
      </c>
      <c r="E73" s="1266">
        <v>94.5</v>
      </c>
      <c r="F73" s="1266">
        <v>99.6</v>
      </c>
      <c r="G73" s="1266">
        <v>3391</v>
      </c>
      <c r="H73" s="1266">
        <v>1963</v>
      </c>
      <c r="I73" s="1266">
        <v>5540</v>
      </c>
      <c r="J73" s="1266">
        <v>6.2</v>
      </c>
      <c r="K73" s="1266">
        <v>1686</v>
      </c>
      <c r="L73" s="1267">
        <v>80</v>
      </c>
      <c r="M73" s="1266">
        <v>14.5</v>
      </c>
      <c r="N73" s="1263" t="s">
        <v>436</v>
      </c>
      <c r="O73" s="1263" t="s">
        <v>225</v>
      </c>
      <c r="P73" s="1263" t="s">
        <v>224</v>
      </c>
      <c r="Q73" s="1268">
        <v>3996.92</v>
      </c>
      <c r="R73" s="1268">
        <v>1.1499999999999999</v>
      </c>
      <c r="S73" s="1272">
        <v>44278</v>
      </c>
      <c r="T73" s="1272">
        <v>44279</v>
      </c>
      <c r="U73" s="1270">
        <v>60</v>
      </c>
      <c r="V73" s="1273" t="s">
        <v>5</v>
      </c>
      <c r="W73" s="1270">
        <v>210</v>
      </c>
      <c r="X73" s="1263" t="s">
        <v>5</v>
      </c>
      <c r="Y73" s="1270">
        <v>71</v>
      </c>
      <c r="Z73" s="1263" t="s">
        <v>226</v>
      </c>
      <c r="AA73" s="1270">
        <v>548</v>
      </c>
      <c r="AB73" s="1270">
        <v>548</v>
      </c>
      <c r="AC73" s="1270">
        <v>592</v>
      </c>
      <c r="AD73" s="1270">
        <v>592</v>
      </c>
      <c r="AE73" s="1270">
        <v>574</v>
      </c>
      <c r="AF73" s="1270">
        <v>565</v>
      </c>
      <c r="AG73" s="1270">
        <v>305</v>
      </c>
      <c r="AH73" s="1270">
        <v>305</v>
      </c>
      <c r="AI73" s="1270">
        <v>392</v>
      </c>
      <c r="AJ73" s="1270">
        <v>392</v>
      </c>
      <c r="AK73" s="1270">
        <v>330</v>
      </c>
      <c r="AL73" s="1270">
        <v>353</v>
      </c>
      <c r="AM73" s="1270"/>
      <c r="AN73" s="1263"/>
      <c r="AO73" s="1263"/>
      <c r="AP73" s="1263" t="str">
        <f ca="1"/>
        <v>DADAYLI</v>
      </c>
      <c r="AQ73" s="1263"/>
      <c r="AR73" s="1263"/>
      <c r="AS73" s="1263"/>
      <c r="AT73" s="1263"/>
      <c r="AU73" s="1263"/>
      <c r="AV73" s="1263"/>
      <c r="AW73" s="1263"/>
      <c r="AX73" s="1263"/>
      <c r="AY73" s="1263"/>
      <c r="AZ73" s="1263"/>
      <c r="BA73" s="1263"/>
      <c r="BB73" s="1263"/>
      <c r="BC73" s="1263"/>
      <c r="BD73" s="1263"/>
      <c r="BE73" s="1263"/>
      <c r="BF73" s="1263"/>
      <c r="BG73" s="1263"/>
      <c r="BH73" s="1263"/>
      <c r="BI73" s="1263"/>
      <c r="BJ73" s="1263"/>
      <c r="BK73" s="1263"/>
      <c r="BL73" s="1263"/>
      <c r="BM73" s="1263"/>
      <c r="BN73" s="1263"/>
      <c r="BO73" s="1263"/>
      <c r="BP73" s="1263"/>
      <c r="BQ73" s="1263"/>
      <c r="BR73" s="1263"/>
      <c r="BS73" s="1263"/>
      <c r="BT73" s="1263"/>
      <c r="BU73" s="1263"/>
      <c r="BV73" s="1263"/>
      <c r="BW73" s="1263"/>
      <c r="BX73" s="1263"/>
      <c r="BY73" s="1263"/>
      <c r="BZ73" s="1263"/>
      <c r="CA73" s="1263"/>
      <c r="CB73" s="1263"/>
      <c r="CC73" s="1263"/>
      <c r="CD73" s="1263"/>
      <c r="CE73" s="1263"/>
      <c r="CF73" s="1263"/>
      <c r="CG73" s="1263"/>
      <c r="CH73" s="1263"/>
      <c r="CI73" s="1263"/>
      <c r="CJ73" s="1263"/>
      <c r="CK73" s="1263"/>
      <c r="CL73" s="1263"/>
    </row>
    <row r="74" spans="1:90">
      <c r="A74" s="1264">
        <f t="shared" si="1"/>
        <v>73</v>
      </c>
      <c r="B74" s="1271" t="s">
        <v>460</v>
      </c>
      <c r="C74" s="1263" t="s">
        <v>461</v>
      </c>
      <c r="D74" s="1263" t="s">
        <v>462</v>
      </c>
      <c r="E74" s="1266">
        <v>97.4</v>
      </c>
      <c r="F74" s="1266">
        <v>104.9</v>
      </c>
      <c r="G74" s="1266">
        <v>3826</v>
      </c>
      <c r="H74" s="1266">
        <v>2043</v>
      </c>
      <c r="I74" s="1266">
        <v>4550</v>
      </c>
      <c r="J74" s="1266">
        <v>5.89</v>
      </c>
      <c r="K74" s="1266">
        <v>2098</v>
      </c>
      <c r="L74" s="1267">
        <v>180</v>
      </c>
      <c r="M74" s="1266">
        <v>16.25</v>
      </c>
      <c r="N74" s="1263" t="s">
        <v>367</v>
      </c>
      <c r="O74" s="1263" t="s">
        <v>225</v>
      </c>
      <c r="P74" s="1263" t="s">
        <v>364</v>
      </c>
      <c r="Q74" s="1268">
        <v>4139.009</v>
      </c>
      <c r="R74" s="1268">
        <v>1.8819999999999999</v>
      </c>
      <c r="S74" s="1272">
        <v>44481</v>
      </c>
      <c r="T74" s="1272">
        <v>44483</v>
      </c>
      <c r="U74" s="1270">
        <v>50</v>
      </c>
      <c r="V74" s="1273" t="s">
        <v>5</v>
      </c>
      <c r="W74" s="1270">
        <v>199</v>
      </c>
      <c r="X74" s="1263" t="s">
        <v>5</v>
      </c>
      <c r="Y74" s="1270">
        <v>45</v>
      </c>
      <c r="Z74" s="1263" t="s">
        <v>5</v>
      </c>
      <c r="AA74" s="1270">
        <v>578</v>
      </c>
      <c r="AB74" s="1270">
        <v>578</v>
      </c>
      <c r="AC74" s="1270">
        <v>599</v>
      </c>
      <c r="AD74" s="1270">
        <v>599</v>
      </c>
      <c r="AE74" s="1270">
        <v>579</v>
      </c>
      <c r="AF74" s="1270">
        <v>586</v>
      </c>
      <c r="AG74" s="1270">
        <v>196</v>
      </c>
      <c r="AH74" s="1270">
        <v>202</v>
      </c>
      <c r="AI74" s="1270">
        <v>404</v>
      </c>
      <c r="AJ74" s="1270">
        <v>404</v>
      </c>
      <c r="AK74" s="1270">
        <v>244</v>
      </c>
      <c r="AL74" s="1270">
        <v>301</v>
      </c>
      <c r="AM74" s="1270"/>
      <c r="AN74" s="1263"/>
      <c r="AO74" s="1263"/>
      <c r="AP74" s="1263" t="str">
        <f ca="1"/>
        <v>TINA C</v>
      </c>
      <c r="AQ74" s="1263"/>
      <c r="AR74" s="1263"/>
      <c r="AS74" s="1263"/>
      <c r="AT74" s="1263"/>
      <c r="AU74" s="1263"/>
      <c r="AV74" s="1263"/>
      <c r="AW74" s="1263"/>
      <c r="AX74" s="1263"/>
      <c r="AY74" s="1263"/>
      <c r="AZ74" s="1263"/>
      <c r="BA74" s="1263"/>
      <c r="BB74" s="1263"/>
      <c r="BC74" s="1263"/>
      <c r="BD74" s="1263"/>
      <c r="BE74" s="1263"/>
      <c r="BF74" s="1263"/>
      <c r="BG74" s="1263"/>
      <c r="BH74" s="1263"/>
      <c r="BI74" s="1263"/>
      <c r="BJ74" s="1263"/>
      <c r="BK74" s="1263"/>
      <c r="BL74" s="1263"/>
      <c r="BM74" s="1263"/>
      <c r="BN74" s="1263"/>
      <c r="BO74" s="1263"/>
      <c r="BP74" s="1263"/>
      <c r="BQ74" s="1263"/>
      <c r="BR74" s="1263"/>
      <c r="BS74" s="1263"/>
      <c r="BT74" s="1263"/>
      <c r="BU74" s="1263"/>
      <c r="BV74" s="1263"/>
      <c r="BW74" s="1263"/>
      <c r="BX74" s="1263"/>
      <c r="BY74" s="1263"/>
      <c r="BZ74" s="1263"/>
      <c r="CA74" s="1263"/>
      <c r="CB74" s="1263"/>
      <c r="CC74" s="1263"/>
      <c r="CD74" s="1263"/>
      <c r="CE74" s="1263"/>
      <c r="CF74" s="1263"/>
      <c r="CG74" s="1263"/>
      <c r="CH74" s="1263"/>
      <c r="CI74" s="1263"/>
      <c r="CJ74" s="1263"/>
      <c r="CK74" s="1263"/>
      <c r="CL74" s="1263"/>
    </row>
    <row r="75" spans="1:90">
      <c r="A75" s="1264">
        <f t="shared" si="1"/>
        <v>74</v>
      </c>
      <c r="B75" s="1271" t="s">
        <v>463</v>
      </c>
      <c r="C75" s="1263" t="s">
        <v>378</v>
      </c>
      <c r="D75" s="1263" t="s">
        <v>379</v>
      </c>
      <c r="E75" s="1266">
        <v>84.98</v>
      </c>
      <c r="F75" s="1266">
        <v>89.95</v>
      </c>
      <c r="G75" s="1266">
        <v>2998</v>
      </c>
      <c r="H75" s="1266">
        <v>1678</v>
      </c>
      <c r="I75" s="1266">
        <v>4922</v>
      </c>
      <c r="J75" s="1266">
        <v>6.2729999999999997</v>
      </c>
      <c r="K75" s="1266">
        <v>1512</v>
      </c>
      <c r="L75" s="1267">
        <v>55</v>
      </c>
      <c r="M75" s="1266">
        <v>14.4</v>
      </c>
      <c r="N75" s="1263" t="s">
        <v>464</v>
      </c>
      <c r="O75" s="1263" t="s">
        <v>225</v>
      </c>
      <c r="P75" s="1263" t="s">
        <v>364</v>
      </c>
      <c r="Q75" s="1268">
        <v>3375.2649999999999</v>
      </c>
      <c r="R75" s="1268">
        <v>1.89</v>
      </c>
      <c r="S75" s="1272">
        <v>44154</v>
      </c>
      <c r="T75" s="1272">
        <v>44157</v>
      </c>
      <c r="U75" s="1270">
        <v>212.3</v>
      </c>
      <c r="V75" s="1273" t="s">
        <v>5</v>
      </c>
      <c r="W75" s="1270">
        <v>190</v>
      </c>
      <c r="X75" s="1263" t="s">
        <v>5</v>
      </c>
      <c r="Y75" s="1270">
        <v>140</v>
      </c>
      <c r="Z75" s="1263" t="s">
        <v>226</v>
      </c>
      <c r="AA75" s="1270">
        <v>502</v>
      </c>
      <c r="AB75" s="1270">
        <v>502</v>
      </c>
      <c r="AC75" s="1270">
        <v>535</v>
      </c>
      <c r="AD75" s="1270">
        <v>535</v>
      </c>
      <c r="AE75" s="1270">
        <v>510</v>
      </c>
      <c r="AF75" s="1270">
        <v>522</v>
      </c>
      <c r="AG75" s="1270">
        <v>318</v>
      </c>
      <c r="AH75" s="1270">
        <v>318</v>
      </c>
      <c r="AI75" s="1270">
        <v>401</v>
      </c>
      <c r="AJ75" s="1270">
        <v>401</v>
      </c>
      <c r="AK75" s="1270">
        <v>361</v>
      </c>
      <c r="AL75" s="1270">
        <v>355</v>
      </c>
      <c r="AM75" s="1270"/>
      <c r="AN75" s="1263"/>
      <c r="AO75" s="1263"/>
      <c r="AP75" s="1263" t="str">
        <f ca="1"/>
        <v>AFALINA</v>
      </c>
      <c r="AQ75" s="1263"/>
      <c r="AR75" s="1263"/>
      <c r="AS75" s="1263"/>
      <c r="AT75" s="1263"/>
      <c r="AU75" s="1263"/>
      <c r="AV75" s="1263"/>
      <c r="AW75" s="1263"/>
      <c r="AX75" s="1263"/>
      <c r="AY75" s="1263"/>
      <c r="AZ75" s="1263"/>
      <c r="BA75" s="1263"/>
      <c r="BB75" s="1263"/>
      <c r="BC75" s="1263"/>
      <c r="BD75" s="1263"/>
      <c r="BE75" s="1263"/>
      <c r="BF75" s="1263"/>
      <c r="BG75" s="1263"/>
      <c r="BH75" s="1263"/>
      <c r="BI75" s="1263"/>
      <c r="BJ75" s="1263"/>
      <c r="BK75" s="1263"/>
      <c r="BL75" s="1263"/>
      <c r="BM75" s="1263"/>
      <c r="BN75" s="1263"/>
      <c r="BO75" s="1263"/>
      <c r="BP75" s="1263"/>
      <c r="BQ75" s="1263"/>
      <c r="BR75" s="1263"/>
      <c r="BS75" s="1263"/>
      <c r="BT75" s="1263"/>
      <c r="BU75" s="1263"/>
      <c r="BV75" s="1263"/>
      <c r="BW75" s="1263"/>
      <c r="BX75" s="1263"/>
      <c r="BY75" s="1263"/>
      <c r="BZ75" s="1263"/>
      <c r="CA75" s="1263"/>
      <c r="CB75" s="1263"/>
      <c r="CC75" s="1263"/>
      <c r="CD75" s="1263"/>
      <c r="CE75" s="1263"/>
      <c r="CF75" s="1263"/>
      <c r="CG75" s="1263"/>
      <c r="CH75" s="1263"/>
      <c r="CI75" s="1263"/>
      <c r="CJ75" s="1263"/>
      <c r="CK75" s="1263"/>
      <c r="CL75" s="1263"/>
    </row>
    <row r="76" spans="1:90">
      <c r="A76" s="1264">
        <f t="shared" si="1"/>
        <v>75</v>
      </c>
      <c r="B76" s="1271" t="s">
        <v>465</v>
      </c>
      <c r="C76" s="1263" t="s">
        <v>223</v>
      </c>
      <c r="D76" s="1263" t="s">
        <v>362</v>
      </c>
      <c r="E76" s="1266">
        <v>107.99</v>
      </c>
      <c r="F76" s="1266">
        <v>111.4</v>
      </c>
      <c r="G76" s="1266">
        <v>3995</v>
      </c>
      <c r="H76" s="1266">
        <v>1559</v>
      </c>
      <c r="I76" s="1266">
        <v>6028.4530000000004</v>
      </c>
      <c r="J76" s="1266">
        <v>5.7519999999999998</v>
      </c>
      <c r="K76" s="1266">
        <v>1606.65</v>
      </c>
      <c r="L76" s="1267">
        <v>70</v>
      </c>
      <c r="M76" s="1266">
        <v>13.4</v>
      </c>
      <c r="N76" s="1263" t="s">
        <v>390</v>
      </c>
      <c r="O76" s="1263" t="s">
        <v>225</v>
      </c>
      <c r="P76" s="1263" t="s">
        <v>364</v>
      </c>
      <c r="Q76" s="1268">
        <v>5200.451</v>
      </c>
      <c r="R76" s="1268">
        <v>1.41</v>
      </c>
      <c r="S76" s="1272">
        <v>44646</v>
      </c>
      <c r="T76" s="1272">
        <v>44649</v>
      </c>
      <c r="U76" s="1270">
        <v>159</v>
      </c>
      <c r="V76" s="1273" t="s">
        <v>5</v>
      </c>
      <c r="W76" s="1270">
        <v>180</v>
      </c>
      <c r="X76" s="1263" t="s">
        <v>5</v>
      </c>
      <c r="Y76" s="1270">
        <v>0</v>
      </c>
      <c r="Z76" s="1263" t="s">
        <v>306</v>
      </c>
      <c r="AA76" s="1270">
        <v>515</v>
      </c>
      <c r="AB76" s="1270">
        <v>515</v>
      </c>
      <c r="AC76" s="1270">
        <v>589</v>
      </c>
      <c r="AD76" s="1270">
        <v>589</v>
      </c>
      <c r="AE76" s="1270">
        <v>545.20000000000005</v>
      </c>
      <c r="AF76" s="1270">
        <v>560.20000000000005</v>
      </c>
      <c r="AG76" s="1270">
        <v>278</v>
      </c>
      <c r="AH76" s="1270">
        <v>278</v>
      </c>
      <c r="AI76" s="1270">
        <v>366</v>
      </c>
      <c r="AJ76" s="1270">
        <v>366</v>
      </c>
      <c r="AK76" s="1270">
        <v>332.2</v>
      </c>
      <c r="AL76" s="1270">
        <v>315.2</v>
      </c>
      <c r="AM76" s="1270"/>
      <c r="AN76" s="1263"/>
      <c r="AO76" s="1263"/>
      <c r="AP76" s="1263" t="str">
        <f ca="1"/>
        <v>MEDAL</v>
      </c>
      <c r="AQ76" s="1263"/>
      <c r="AR76" s="1263"/>
      <c r="AS76" s="1263"/>
      <c r="AT76" s="1263"/>
      <c r="AU76" s="1263"/>
      <c r="AV76" s="1263"/>
      <c r="AW76" s="1263"/>
      <c r="AX76" s="1263"/>
      <c r="AY76" s="1263"/>
      <c r="AZ76" s="1263"/>
      <c r="BA76" s="1263"/>
      <c r="BB76" s="1263"/>
      <c r="BC76" s="1263"/>
      <c r="BD76" s="1263"/>
      <c r="BE76" s="1263"/>
      <c r="BF76" s="1263"/>
      <c r="BG76" s="1263"/>
      <c r="BH76" s="1263"/>
      <c r="BI76" s="1263"/>
      <c r="BJ76" s="1263"/>
      <c r="BK76" s="1263"/>
      <c r="BL76" s="1263"/>
      <c r="BM76" s="1263"/>
      <c r="BN76" s="1263"/>
      <c r="BO76" s="1263"/>
      <c r="BP76" s="1263"/>
      <c r="BQ76" s="1263"/>
      <c r="BR76" s="1263"/>
      <c r="BS76" s="1263"/>
      <c r="BT76" s="1263"/>
      <c r="BU76" s="1263"/>
      <c r="BV76" s="1263"/>
      <c r="BW76" s="1263"/>
      <c r="BX76" s="1263"/>
      <c r="BY76" s="1263"/>
      <c r="BZ76" s="1263"/>
      <c r="CA76" s="1263"/>
      <c r="CB76" s="1263"/>
      <c r="CC76" s="1263"/>
      <c r="CD76" s="1263"/>
      <c r="CE76" s="1263"/>
      <c r="CF76" s="1263"/>
      <c r="CG76" s="1263"/>
      <c r="CH76" s="1263"/>
      <c r="CI76" s="1263"/>
      <c r="CJ76" s="1263"/>
      <c r="CK76" s="1263"/>
      <c r="CL76" s="1263"/>
    </row>
    <row r="77" spans="1:90">
      <c r="A77" s="1264">
        <f t="shared" si="1"/>
        <v>76</v>
      </c>
      <c r="B77" s="1271" t="s">
        <v>466</v>
      </c>
      <c r="C77" s="1263" t="s">
        <v>467</v>
      </c>
      <c r="D77" s="1263" t="s">
        <v>468</v>
      </c>
      <c r="E77" s="1266">
        <v>99.6</v>
      </c>
      <c r="F77" s="1266">
        <v>108.5</v>
      </c>
      <c r="G77" s="1266">
        <v>6354</v>
      </c>
      <c r="H77" s="1266">
        <v>2988</v>
      </c>
      <c r="I77" s="1266">
        <v>9802</v>
      </c>
      <c r="J77" s="1266">
        <v>8.34</v>
      </c>
      <c r="K77" s="1266">
        <v>3069</v>
      </c>
      <c r="L77" s="1267">
        <v>100</v>
      </c>
      <c r="M77" s="1266">
        <v>18.600000000000001</v>
      </c>
      <c r="N77" s="1263" t="s">
        <v>371</v>
      </c>
      <c r="O77" s="1263" t="s">
        <v>225</v>
      </c>
      <c r="P77" s="1263" t="s">
        <v>364</v>
      </c>
      <c r="Q77" s="1268">
        <v>7417.3940000000002</v>
      </c>
      <c r="R77" s="1268">
        <v>2.2930000000000001</v>
      </c>
      <c r="S77" s="1272">
        <v>44700</v>
      </c>
      <c r="T77" s="1272">
        <v>44704</v>
      </c>
      <c r="U77" s="1270">
        <v>65</v>
      </c>
      <c r="V77" s="1273" t="s">
        <v>5</v>
      </c>
      <c r="W77" s="1270">
        <v>357</v>
      </c>
      <c r="X77" s="1263" t="s">
        <v>5</v>
      </c>
      <c r="Y77" s="1270">
        <v>65</v>
      </c>
      <c r="Z77" s="1263" t="s">
        <v>5</v>
      </c>
      <c r="AA77" s="1270">
        <v>700</v>
      </c>
      <c r="AB77" s="1270">
        <v>701</v>
      </c>
      <c r="AC77" s="1270">
        <v>749</v>
      </c>
      <c r="AD77" s="1270">
        <v>749</v>
      </c>
      <c r="AE77" s="1270">
        <v>720</v>
      </c>
      <c r="AF77" s="1270">
        <v>731</v>
      </c>
      <c r="AG77" s="1270">
        <v>280</v>
      </c>
      <c r="AH77" s="1270">
        <v>280</v>
      </c>
      <c r="AI77" s="1270">
        <v>490</v>
      </c>
      <c r="AJ77" s="1270">
        <v>490</v>
      </c>
      <c r="AK77" s="1270">
        <v>385</v>
      </c>
      <c r="AL77" s="1270">
        <v>385</v>
      </c>
      <c r="AM77" s="1270"/>
      <c r="AN77" s="1263"/>
      <c r="AO77" s="1263"/>
      <c r="AP77" s="1263" t="str">
        <f ca="1"/>
        <v>FL LEVANTE</v>
      </c>
      <c r="AQ77" s="1263"/>
      <c r="AR77" s="1263"/>
      <c r="AS77" s="1263"/>
      <c r="AT77" s="1263"/>
      <c r="AU77" s="1263"/>
      <c r="AV77" s="1263"/>
      <c r="AW77" s="1263"/>
      <c r="AX77" s="1263"/>
      <c r="AY77" s="1263"/>
      <c r="AZ77" s="1263"/>
      <c r="BA77" s="1263"/>
      <c r="BB77" s="1263"/>
      <c r="BC77" s="1263"/>
      <c r="BD77" s="1263"/>
      <c r="BE77" s="1263"/>
      <c r="BF77" s="1263"/>
      <c r="BG77" s="1263"/>
      <c r="BH77" s="1263"/>
      <c r="BI77" s="1263"/>
      <c r="BJ77" s="1263"/>
      <c r="BK77" s="1263"/>
      <c r="BL77" s="1263"/>
      <c r="BM77" s="1263"/>
      <c r="BN77" s="1263"/>
      <c r="BO77" s="1263"/>
      <c r="BP77" s="1263"/>
      <c r="BQ77" s="1263"/>
      <c r="BR77" s="1263"/>
      <c r="BS77" s="1263"/>
      <c r="BT77" s="1263"/>
      <c r="BU77" s="1263"/>
      <c r="BV77" s="1263"/>
      <c r="BW77" s="1263"/>
      <c r="BX77" s="1263"/>
      <c r="BY77" s="1263"/>
      <c r="BZ77" s="1263"/>
      <c r="CA77" s="1263"/>
      <c r="CB77" s="1263"/>
      <c r="CC77" s="1263"/>
      <c r="CD77" s="1263"/>
      <c r="CE77" s="1263"/>
      <c r="CF77" s="1263"/>
      <c r="CG77" s="1263"/>
      <c r="CH77" s="1263"/>
      <c r="CI77" s="1263"/>
      <c r="CJ77" s="1263"/>
      <c r="CK77" s="1263"/>
      <c r="CL77" s="1263"/>
    </row>
    <row r="78" spans="1:90">
      <c r="A78" s="1264">
        <f t="shared" si="1"/>
        <v>77</v>
      </c>
      <c r="B78" s="1271" t="s">
        <v>469</v>
      </c>
      <c r="C78" s="1263" t="s">
        <v>223</v>
      </c>
      <c r="D78" s="1263" t="s">
        <v>362</v>
      </c>
      <c r="E78" s="1266">
        <v>84.7</v>
      </c>
      <c r="F78" s="1266">
        <v>89.8</v>
      </c>
      <c r="G78" s="1266">
        <v>2999</v>
      </c>
      <c r="H78" s="1266">
        <v>1686</v>
      </c>
      <c r="I78" s="1266">
        <v>4919.8</v>
      </c>
      <c r="J78" s="1266">
        <v>6.3</v>
      </c>
      <c r="K78" s="1266">
        <v>1522.2</v>
      </c>
      <c r="L78" s="1267">
        <v>110</v>
      </c>
      <c r="M78" s="1266">
        <v>14.5</v>
      </c>
      <c r="N78" s="1263" t="s">
        <v>367</v>
      </c>
      <c r="O78" s="1263" t="s">
        <v>225</v>
      </c>
      <c r="P78" s="1263" t="s">
        <v>364</v>
      </c>
      <c r="Q78" s="1268">
        <v>4471.5839999999998</v>
      </c>
      <c r="R78" s="1268">
        <v>1.6120000000000001</v>
      </c>
      <c r="S78" s="1272">
        <v>44576</v>
      </c>
      <c r="T78" s="1272">
        <v>44580</v>
      </c>
      <c r="U78" s="1270">
        <v>60</v>
      </c>
      <c r="V78" s="1273" t="s">
        <v>5</v>
      </c>
      <c r="W78" s="1270">
        <v>200</v>
      </c>
      <c r="X78" s="1263" t="s">
        <v>5</v>
      </c>
      <c r="Y78" s="1270">
        <v>0</v>
      </c>
      <c r="Z78" s="1263" t="s">
        <v>306</v>
      </c>
      <c r="AA78" s="1270">
        <v>591</v>
      </c>
      <c r="AB78" s="1270">
        <v>591</v>
      </c>
      <c r="AC78" s="1270">
        <v>637</v>
      </c>
      <c r="AD78" s="1270">
        <v>637</v>
      </c>
      <c r="AE78" s="1270">
        <v>609</v>
      </c>
      <c r="AF78" s="1270">
        <v>609</v>
      </c>
      <c r="AG78" s="1270">
        <v>332</v>
      </c>
      <c r="AH78" s="1270">
        <v>331</v>
      </c>
      <c r="AI78" s="1270">
        <v>415</v>
      </c>
      <c r="AJ78" s="1270">
        <v>415</v>
      </c>
      <c r="AK78" s="1270">
        <v>370</v>
      </c>
      <c r="AL78" s="1270">
        <v>371</v>
      </c>
      <c r="AM78" s="1270"/>
      <c r="AN78" s="1263"/>
      <c r="AO78" s="1263"/>
      <c r="AP78" s="1263" t="str">
        <f ca="1"/>
        <v>LADY SHAM</v>
      </c>
      <c r="AQ78" s="1263"/>
      <c r="AR78" s="1263"/>
      <c r="AS78" s="1263"/>
      <c r="AT78" s="1263"/>
      <c r="AU78" s="1263"/>
      <c r="AV78" s="1263"/>
      <c r="AW78" s="1263"/>
      <c r="AX78" s="1263"/>
      <c r="AY78" s="1263"/>
      <c r="AZ78" s="1263"/>
      <c r="BA78" s="1263"/>
      <c r="BB78" s="1263"/>
      <c r="BC78" s="1263"/>
      <c r="BD78" s="1263"/>
      <c r="BE78" s="1263"/>
      <c r="BF78" s="1263"/>
      <c r="BG78" s="1263"/>
      <c r="BH78" s="1263"/>
      <c r="BI78" s="1263"/>
      <c r="BJ78" s="1263"/>
      <c r="BK78" s="1263"/>
      <c r="BL78" s="1263"/>
      <c r="BM78" s="1263"/>
      <c r="BN78" s="1263"/>
      <c r="BO78" s="1263"/>
      <c r="BP78" s="1263"/>
      <c r="BQ78" s="1263"/>
      <c r="BR78" s="1263"/>
      <c r="BS78" s="1263"/>
      <c r="BT78" s="1263"/>
      <c r="BU78" s="1263"/>
      <c r="BV78" s="1263"/>
      <c r="BW78" s="1263"/>
      <c r="BX78" s="1263"/>
      <c r="BY78" s="1263"/>
      <c r="BZ78" s="1263"/>
      <c r="CA78" s="1263"/>
      <c r="CB78" s="1263"/>
      <c r="CC78" s="1263"/>
      <c r="CD78" s="1263"/>
      <c r="CE78" s="1263"/>
      <c r="CF78" s="1263"/>
      <c r="CG78" s="1263"/>
      <c r="CH78" s="1263"/>
      <c r="CI78" s="1263"/>
      <c r="CJ78" s="1263"/>
      <c r="CK78" s="1263"/>
      <c r="CL78" s="1263"/>
    </row>
    <row r="79" spans="1:90">
      <c r="A79" s="1264">
        <f t="shared" si="1"/>
        <v>78</v>
      </c>
      <c r="B79" s="1271" t="s">
        <v>470</v>
      </c>
      <c r="C79" s="1263" t="s">
        <v>223</v>
      </c>
      <c r="D79" s="1263" t="s">
        <v>362</v>
      </c>
      <c r="E79" s="1266">
        <v>84.99</v>
      </c>
      <c r="F79" s="1266">
        <v>89.97</v>
      </c>
      <c r="G79" s="1266">
        <v>3845</v>
      </c>
      <c r="H79" s="1266">
        <v>1590</v>
      </c>
      <c r="I79" s="1266">
        <v>5215</v>
      </c>
      <c r="J79" s="1266">
        <v>6.1319999999999997</v>
      </c>
      <c r="K79" s="1266">
        <v>1167</v>
      </c>
      <c r="L79" s="1267">
        <v>65</v>
      </c>
      <c r="M79" s="1266">
        <v>15.4</v>
      </c>
      <c r="N79" s="1263" t="s">
        <v>398</v>
      </c>
      <c r="O79" s="1263" t="s">
        <v>225</v>
      </c>
      <c r="P79" s="1263" t="s">
        <v>364</v>
      </c>
      <c r="Q79" s="1268">
        <v>2760.83</v>
      </c>
      <c r="R79" s="1268">
        <v>1.89</v>
      </c>
      <c r="S79" s="1272">
        <v>44670</v>
      </c>
      <c r="T79" s="1272">
        <v>44672</v>
      </c>
      <c r="U79" s="1270">
        <v>506.4</v>
      </c>
      <c r="V79" s="1273" t="s">
        <v>5</v>
      </c>
      <c r="W79" s="1270">
        <v>180</v>
      </c>
      <c r="X79" s="1263" t="s">
        <v>5</v>
      </c>
      <c r="Y79" s="1270">
        <v>49.7</v>
      </c>
      <c r="Z79" s="1263" t="s">
        <v>5</v>
      </c>
      <c r="AA79" s="1270">
        <v>451</v>
      </c>
      <c r="AB79" s="1270">
        <v>451</v>
      </c>
      <c r="AC79" s="1270">
        <v>486</v>
      </c>
      <c r="AD79" s="1270">
        <v>486</v>
      </c>
      <c r="AE79" s="1270">
        <v>462</v>
      </c>
      <c r="AF79" s="1270">
        <v>473</v>
      </c>
      <c r="AG79" s="1270">
        <v>287</v>
      </c>
      <c r="AH79" s="1270">
        <v>287</v>
      </c>
      <c r="AI79" s="1270">
        <v>325</v>
      </c>
      <c r="AJ79" s="1270">
        <v>325</v>
      </c>
      <c r="AK79" s="1270">
        <v>317</v>
      </c>
      <c r="AL79" s="1270">
        <v>324</v>
      </c>
      <c r="AM79" s="1270"/>
      <c r="AN79" s="1263"/>
      <c r="AO79" s="1263"/>
      <c r="AP79" s="1263" t="str">
        <f ca="1"/>
        <v>SPANCO LOYALTY</v>
      </c>
      <c r="AQ79" s="1263"/>
      <c r="AR79" s="1263"/>
      <c r="AS79" s="1263"/>
      <c r="AT79" s="1263"/>
      <c r="AU79" s="1263"/>
      <c r="AV79" s="1263"/>
      <c r="AW79" s="1263"/>
      <c r="AX79" s="1263"/>
      <c r="AY79" s="1263"/>
      <c r="AZ79" s="1263"/>
      <c r="BA79" s="1263"/>
      <c r="BB79" s="1263"/>
      <c r="BC79" s="1263"/>
      <c r="BD79" s="1263"/>
      <c r="BE79" s="1263"/>
      <c r="BF79" s="1263"/>
      <c r="BG79" s="1263"/>
      <c r="BH79" s="1263"/>
      <c r="BI79" s="1263"/>
      <c r="BJ79" s="1263"/>
      <c r="BK79" s="1263"/>
      <c r="BL79" s="1263"/>
      <c r="BM79" s="1263"/>
      <c r="BN79" s="1263"/>
      <c r="BO79" s="1263"/>
      <c r="BP79" s="1263"/>
      <c r="BQ79" s="1263"/>
      <c r="BR79" s="1263"/>
      <c r="BS79" s="1263"/>
      <c r="BT79" s="1263"/>
      <c r="BU79" s="1263"/>
      <c r="BV79" s="1263"/>
      <c r="BW79" s="1263"/>
      <c r="BX79" s="1263"/>
      <c r="BY79" s="1263"/>
      <c r="BZ79" s="1263"/>
      <c r="CA79" s="1263"/>
      <c r="CB79" s="1263"/>
      <c r="CC79" s="1263"/>
      <c r="CD79" s="1263"/>
      <c r="CE79" s="1263"/>
      <c r="CF79" s="1263"/>
      <c r="CG79" s="1263"/>
      <c r="CH79" s="1263"/>
      <c r="CI79" s="1263"/>
      <c r="CJ79" s="1263"/>
      <c r="CK79" s="1263"/>
      <c r="CL79" s="1263"/>
    </row>
    <row r="80" spans="1:90">
      <c r="A80" s="1264">
        <f t="shared" si="1"/>
        <v>79</v>
      </c>
      <c r="B80" s="1271" t="s">
        <v>471</v>
      </c>
      <c r="C80" s="1263" t="s">
        <v>378</v>
      </c>
      <c r="D80" s="1263" t="s">
        <v>379</v>
      </c>
      <c r="E80" s="1266">
        <v>94</v>
      </c>
      <c r="F80" s="1266">
        <v>99.9</v>
      </c>
      <c r="G80" s="1266">
        <v>3911</v>
      </c>
      <c r="H80" s="1266">
        <v>2010</v>
      </c>
      <c r="I80" s="1266">
        <v>5604.4</v>
      </c>
      <c r="J80" s="1266">
        <v>6.1959999999999997</v>
      </c>
      <c r="K80" s="1266">
        <v>1984.2</v>
      </c>
      <c r="L80" s="1267">
        <v>100</v>
      </c>
      <c r="M80" s="1266">
        <v>15.6</v>
      </c>
      <c r="N80" s="1263" t="s">
        <v>436</v>
      </c>
      <c r="O80" s="1263" t="s">
        <v>225</v>
      </c>
      <c r="P80" s="1263" t="s">
        <v>224</v>
      </c>
      <c r="Q80" s="1268">
        <v>4000.58</v>
      </c>
      <c r="R80" s="1268">
        <v>1.9</v>
      </c>
      <c r="S80" s="1272">
        <v>43136</v>
      </c>
      <c r="T80" s="1272">
        <v>43140</v>
      </c>
      <c r="U80" s="1270">
        <v>50</v>
      </c>
      <c r="V80" s="1273" t="s">
        <v>5</v>
      </c>
      <c r="W80" s="1270">
        <v>220</v>
      </c>
      <c r="X80" s="1263" t="s">
        <v>5</v>
      </c>
      <c r="Y80" s="1270">
        <v>0</v>
      </c>
      <c r="Z80" s="1263" t="s">
        <v>306</v>
      </c>
      <c r="AA80" s="1270">
        <v>496</v>
      </c>
      <c r="AB80" s="1270">
        <v>496</v>
      </c>
      <c r="AC80" s="1270">
        <v>640.08000000000004</v>
      </c>
      <c r="AD80" s="1270">
        <v>640.08000000000004</v>
      </c>
      <c r="AE80" s="1270">
        <v>559.29999999999995</v>
      </c>
      <c r="AF80" s="1270">
        <v>583.20000000000005</v>
      </c>
      <c r="AG80" s="1270">
        <v>358</v>
      </c>
      <c r="AH80" s="1270">
        <v>358</v>
      </c>
      <c r="AI80" s="1270">
        <v>498.7</v>
      </c>
      <c r="AJ80" s="1270">
        <v>498.7</v>
      </c>
      <c r="AK80" s="1270">
        <v>430.3</v>
      </c>
      <c r="AL80" s="1270">
        <v>427.3</v>
      </c>
      <c r="AM80" s="1270"/>
      <c r="AN80" s="1263"/>
      <c r="AO80" s="1263"/>
      <c r="AP80" s="1263" t="str">
        <f ca="1"/>
        <v>BREB TIMBER</v>
      </c>
      <c r="AQ80" s="1263"/>
      <c r="AR80" s="1263"/>
      <c r="AS80" s="1263"/>
      <c r="AT80" s="1263"/>
      <c r="AU80" s="1263"/>
      <c r="AV80" s="1263"/>
      <c r="AW80" s="1263"/>
      <c r="AX80" s="1263"/>
      <c r="AY80" s="1263"/>
      <c r="AZ80" s="1263"/>
      <c r="BA80" s="1263"/>
      <c r="BB80" s="1263"/>
      <c r="BC80" s="1263"/>
      <c r="BD80" s="1263"/>
      <c r="BE80" s="1263"/>
      <c r="BF80" s="1263"/>
      <c r="BG80" s="1263"/>
      <c r="BH80" s="1263"/>
      <c r="BI80" s="1263"/>
      <c r="BJ80" s="1263"/>
      <c r="BK80" s="1263"/>
      <c r="BL80" s="1263"/>
      <c r="BM80" s="1263"/>
      <c r="BN80" s="1263"/>
      <c r="BO80" s="1263"/>
      <c r="BP80" s="1263"/>
      <c r="BQ80" s="1263"/>
      <c r="BR80" s="1263"/>
      <c r="BS80" s="1263"/>
      <c r="BT80" s="1263"/>
      <c r="BU80" s="1263"/>
      <c r="BV80" s="1263"/>
      <c r="BW80" s="1263"/>
      <c r="BX80" s="1263"/>
      <c r="BY80" s="1263"/>
      <c r="BZ80" s="1263"/>
      <c r="CA80" s="1263"/>
      <c r="CB80" s="1263"/>
      <c r="CC80" s="1263"/>
      <c r="CD80" s="1263"/>
      <c r="CE80" s="1263"/>
      <c r="CF80" s="1263"/>
      <c r="CG80" s="1263"/>
      <c r="CH80" s="1263"/>
      <c r="CI80" s="1263"/>
      <c r="CJ80" s="1263"/>
      <c r="CK80" s="1263"/>
      <c r="CL80" s="1263"/>
    </row>
    <row r="81" spans="1:90">
      <c r="A81" s="1264">
        <f t="shared" si="1"/>
        <v>80</v>
      </c>
      <c r="B81" s="1271" t="s">
        <v>472</v>
      </c>
      <c r="C81" s="1263" t="s">
        <v>378</v>
      </c>
      <c r="D81" s="1263" t="s">
        <v>379</v>
      </c>
      <c r="E81" s="1266">
        <v>94</v>
      </c>
      <c r="F81" s="1266">
        <v>99.9</v>
      </c>
      <c r="G81" s="1266">
        <v>3911</v>
      </c>
      <c r="H81" s="1266">
        <v>2010</v>
      </c>
      <c r="I81" s="1266">
        <v>5604.4</v>
      </c>
      <c r="J81" s="1266">
        <v>6.1959999999999997</v>
      </c>
      <c r="K81" s="1266">
        <v>1984.2</v>
      </c>
      <c r="L81" s="1267">
        <v>130</v>
      </c>
      <c r="M81" s="1266">
        <v>15.6</v>
      </c>
      <c r="N81" s="1263" t="s">
        <v>436</v>
      </c>
      <c r="O81" s="1263" t="s">
        <v>225</v>
      </c>
      <c r="P81" s="1263" t="s">
        <v>224</v>
      </c>
      <c r="Q81" s="1268">
        <v>4045.68</v>
      </c>
      <c r="R81" s="1268">
        <v>1.8320000000000001</v>
      </c>
      <c r="S81" s="1272">
        <v>43501</v>
      </c>
      <c r="T81" s="1272">
        <v>43503</v>
      </c>
      <c r="U81" s="1270">
        <v>50</v>
      </c>
      <c r="V81" s="1273" t="s">
        <v>5</v>
      </c>
      <c r="W81" s="1270">
        <v>220</v>
      </c>
      <c r="X81" s="1263" t="s">
        <v>5</v>
      </c>
      <c r="Y81" s="1270">
        <v>0</v>
      </c>
      <c r="Z81" s="1263" t="s">
        <v>306</v>
      </c>
      <c r="AA81" s="1270">
        <v>529</v>
      </c>
      <c r="AB81" s="1270">
        <v>529</v>
      </c>
      <c r="AC81" s="1270">
        <v>591</v>
      </c>
      <c r="AD81" s="1270">
        <v>591</v>
      </c>
      <c r="AE81" s="1270">
        <v>566.6</v>
      </c>
      <c r="AF81" s="1270">
        <v>559.6</v>
      </c>
      <c r="AG81" s="1270">
        <v>340</v>
      </c>
      <c r="AH81" s="1270">
        <v>340</v>
      </c>
      <c r="AI81" s="1270">
        <v>457</v>
      </c>
      <c r="AJ81" s="1270">
        <v>457</v>
      </c>
      <c r="AK81" s="1270">
        <v>403.6</v>
      </c>
      <c r="AL81" s="1270">
        <v>401.6</v>
      </c>
      <c r="AM81" s="1270"/>
      <c r="AN81" s="1263"/>
      <c r="AO81" s="1263"/>
      <c r="AP81" s="1263" t="str">
        <f ca="1"/>
        <v>LAIDA</v>
      </c>
      <c r="AQ81" s="1263"/>
      <c r="AR81" s="1263"/>
      <c r="AS81" s="1263"/>
      <c r="AT81" s="1263"/>
      <c r="AU81" s="1263"/>
      <c r="AV81" s="1263"/>
      <c r="AW81" s="1263"/>
      <c r="AX81" s="1263"/>
      <c r="AY81" s="1263"/>
      <c r="AZ81" s="1263"/>
      <c r="BA81" s="1263"/>
      <c r="BB81" s="1263"/>
      <c r="BC81" s="1263"/>
      <c r="BD81" s="1263"/>
      <c r="BE81" s="1263"/>
      <c r="BF81" s="1263"/>
      <c r="BG81" s="1263"/>
      <c r="BH81" s="1263"/>
      <c r="BI81" s="1263"/>
      <c r="BJ81" s="1263"/>
      <c r="BK81" s="1263"/>
      <c r="BL81" s="1263"/>
      <c r="BM81" s="1263"/>
      <c r="BN81" s="1263"/>
      <c r="BO81" s="1263"/>
      <c r="BP81" s="1263"/>
      <c r="BQ81" s="1263"/>
      <c r="BR81" s="1263"/>
      <c r="BS81" s="1263"/>
      <c r="BT81" s="1263"/>
      <c r="BU81" s="1263"/>
      <c r="BV81" s="1263"/>
      <c r="BW81" s="1263"/>
      <c r="BX81" s="1263"/>
      <c r="BY81" s="1263"/>
      <c r="BZ81" s="1263"/>
      <c r="CA81" s="1263"/>
      <c r="CB81" s="1263"/>
      <c r="CC81" s="1263"/>
      <c r="CD81" s="1263"/>
      <c r="CE81" s="1263"/>
      <c r="CF81" s="1263"/>
      <c r="CG81" s="1263"/>
      <c r="CH81" s="1263"/>
      <c r="CI81" s="1263"/>
      <c r="CJ81" s="1263"/>
      <c r="CK81" s="1263"/>
      <c r="CL81" s="1263"/>
    </row>
    <row r="82" spans="1:90">
      <c r="A82" s="1264">
        <f t="shared" si="1"/>
        <v>81</v>
      </c>
      <c r="B82" s="1271" t="s">
        <v>473</v>
      </c>
      <c r="C82" s="1263" t="s">
        <v>474</v>
      </c>
      <c r="D82" s="1263" t="s">
        <v>475</v>
      </c>
      <c r="E82" s="1266">
        <v>96</v>
      </c>
      <c r="F82" s="1266">
        <v>100.7</v>
      </c>
      <c r="G82" s="1266">
        <v>3796</v>
      </c>
      <c r="H82" s="1266">
        <v>2075</v>
      </c>
      <c r="I82" s="1266">
        <v>5535</v>
      </c>
      <c r="J82" s="1266">
        <v>5.4969999999999999</v>
      </c>
      <c r="K82" s="1266">
        <v>1860.5</v>
      </c>
      <c r="L82" s="1267">
        <v>19</v>
      </c>
      <c r="M82" s="1266">
        <v>16.2</v>
      </c>
      <c r="N82" s="1263" t="s">
        <v>436</v>
      </c>
      <c r="O82" s="1263" t="s">
        <v>225</v>
      </c>
      <c r="P82" s="1263" t="s">
        <v>224</v>
      </c>
      <c r="Q82" s="1268">
        <v>3947.7469999999998</v>
      </c>
      <c r="R82" s="1268">
        <v>1.8320000000000001</v>
      </c>
      <c r="S82" s="1272">
        <v>43731</v>
      </c>
      <c r="T82" s="1272">
        <v>43732</v>
      </c>
      <c r="U82" s="1270">
        <v>180</v>
      </c>
      <c r="V82" s="1273" t="s">
        <v>5</v>
      </c>
      <c r="W82" s="1270">
        <v>90</v>
      </c>
      <c r="X82" s="1263" t="s">
        <v>5</v>
      </c>
      <c r="Y82" s="1270">
        <v>100</v>
      </c>
      <c r="Z82" s="1263" t="s">
        <v>5</v>
      </c>
      <c r="AA82" s="1270">
        <v>423</v>
      </c>
      <c r="AB82" s="1270">
        <v>421</v>
      </c>
      <c r="AC82" s="1270">
        <v>487</v>
      </c>
      <c r="AD82" s="1270">
        <v>487</v>
      </c>
      <c r="AE82" s="1270">
        <v>459</v>
      </c>
      <c r="AF82" s="1270">
        <v>449</v>
      </c>
      <c r="AG82" s="1270">
        <v>239</v>
      </c>
      <c r="AH82" s="1270">
        <v>240</v>
      </c>
      <c r="AI82" s="1270">
        <v>279</v>
      </c>
      <c r="AJ82" s="1270">
        <v>279</v>
      </c>
      <c r="AK82" s="1270">
        <v>250</v>
      </c>
      <c r="AL82" s="1270">
        <v>254</v>
      </c>
      <c r="AM82" s="1270"/>
      <c r="AN82" s="1263"/>
      <c r="AO82" s="1263"/>
      <c r="AP82" s="1263" t="str">
        <f ca="1"/>
        <v>LAGA</v>
      </c>
      <c r="AQ82" s="1263"/>
      <c r="AR82" s="1263"/>
      <c r="AS82" s="1263"/>
      <c r="AT82" s="1263"/>
      <c r="AU82" s="1263"/>
      <c r="AV82" s="1263"/>
      <c r="AW82" s="1263"/>
      <c r="AX82" s="1263"/>
      <c r="AY82" s="1263"/>
      <c r="AZ82" s="1263"/>
      <c r="BA82" s="1263"/>
      <c r="BB82" s="1263"/>
      <c r="BC82" s="1263"/>
      <c r="BD82" s="1263"/>
      <c r="BE82" s="1263"/>
      <c r="BF82" s="1263"/>
      <c r="BG82" s="1263"/>
      <c r="BH82" s="1263"/>
      <c r="BI82" s="1263"/>
      <c r="BJ82" s="1263"/>
      <c r="BK82" s="1263"/>
      <c r="BL82" s="1263"/>
      <c r="BM82" s="1263"/>
      <c r="BN82" s="1263"/>
      <c r="BO82" s="1263"/>
      <c r="BP82" s="1263"/>
      <c r="BQ82" s="1263"/>
      <c r="BR82" s="1263"/>
      <c r="BS82" s="1263"/>
      <c r="BT82" s="1263"/>
      <c r="BU82" s="1263"/>
      <c r="BV82" s="1263"/>
      <c r="BW82" s="1263"/>
      <c r="BX82" s="1263"/>
      <c r="BY82" s="1263"/>
      <c r="BZ82" s="1263"/>
      <c r="CA82" s="1263"/>
      <c r="CB82" s="1263"/>
      <c r="CC82" s="1263"/>
      <c r="CD82" s="1263"/>
      <c r="CE82" s="1263"/>
      <c r="CF82" s="1263"/>
      <c r="CG82" s="1263"/>
      <c r="CH82" s="1263"/>
      <c r="CI82" s="1263"/>
      <c r="CJ82" s="1263"/>
      <c r="CK82" s="1263"/>
      <c r="CL82" s="1263"/>
    </row>
    <row r="83" spans="1:90">
      <c r="A83" s="1264">
        <f t="shared" si="1"/>
        <v>82</v>
      </c>
      <c r="B83" s="1271" t="s">
        <v>476</v>
      </c>
      <c r="C83" s="1263" t="s">
        <v>400</v>
      </c>
      <c r="D83" s="1263" t="s">
        <v>401</v>
      </c>
      <c r="E83" s="1266">
        <v>94.8</v>
      </c>
      <c r="F83" s="1266">
        <v>100.62</v>
      </c>
      <c r="G83" s="1266">
        <v>4115</v>
      </c>
      <c r="H83" s="1266">
        <v>2005</v>
      </c>
      <c r="I83" s="1266">
        <v>5184</v>
      </c>
      <c r="J83" s="1266">
        <v>6.4</v>
      </c>
      <c r="K83" s="1266">
        <v>2334.3000000000002</v>
      </c>
      <c r="L83" s="1267">
        <v>70</v>
      </c>
      <c r="M83" s="1266">
        <v>16.2</v>
      </c>
      <c r="N83" s="1263" t="s">
        <v>443</v>
      </c>
      <c r="O83" s="1263" t="s">
        <v>225</v>
      </c>
      <c r="P83" s="1263" t="s">
        <v>224</v>
      </c>
      <c r="Q83" s="1268">
        <v>4041.1</v>
      </c>
      <c r="R83" s="1268">
        <v>1.9</v>
      </c>
      <c r="S83" s="1272">
        <v>43400</v>
      </c>
      <c r="T83" s="1272">
        <v>43404</v>
      </c>
      <c r="U83" s="1270">
        <v>45</v>
      </c>
      <c r="V83" s="1273" t="s">
        <v>5</v>
      </c>
      <c r="W83" s="1270">
        <v>235</v>
      </c>
      <c r="X83" s="1263" t="s">
        <v>5</v>
      </c>
      <c r="Y83" s="1270">
        <v>140</v>
      </c>
      <c r="Z83" s="1263" t="s">
        <v>5</v>
      </c>
      <c r="AA83" s="1270">
        <v>525</v>
      </c>
      <c r="AB83" s="1270">
        <v>525</v>
      </c>
      <c r="AC83" s="1270">
        <v>613</v>
      </c>
      <c r="AD83" s="1270">
        <v>613</v>
      </c>
      <c r="AE83" s="1270">
        <v>595</v>
      </c>
      <c r="AF83" s="1270">
        <v>571</v>
      </c>
      <c r="AG83" s="1270">
        <v>311</v>
      </c>
      <c r="AH83" s="1270">
        <v>311</v>
      </c>
      <c r="AI83" s="1270">
        <v>426</v>
      </c>
      <c r="AJ83" s="1270">
        <v>426</v>
      </c>
      <c r="AK83" s="1270">
        <v>365</v>
      </c>
      <c r="AL83" s="1270">
        <v>383</v>
      </c>
      <c r="AM83" s="1270"/>
      <c r="AN83" s="1263"/>
      <c r="AO83" s="1263"/>
      <c r="AP83" s="1263" t="str">
        <f ca="1"/>
        <v>LINA</v>
      </c>
      <c r="AQ83" s="1263"/>
      <c r="AR83" s="1263"/>
      <c r="AS83" s="1263"/>
      <c r="AT83" s="1263"/>
      <c r="AU83" s="1263"/>
      <c r="AV83" s="1263"/>
      <c r="AW83" s="1263"/>
      <c r="AX83" s="1263"/>
      <c r="AY83" s="1263"/>
      <c r="AZ83" s="1263"/>
      <c r="BA83" s="1263"/>
      <c r="BB83" s="1263"/>
      <c r="BC83" s="1263"/>
      <c r="BD83" s="1263"/>
      <c r="BE83" s="1263"/>
      <c r="BF83" s="1263"/>
      <c r="BG83" s="1263"/>
      <c r="BH83" s="1263"/>
      <c r="BI83" s="1263"/>
      <c r="BJ83" s="1263"/>
      <c r="BK83" s="1263"/>
      <c r="BL83" s="1263"/>
      <c r="BM83" s="1263"/>
      <c r="BN83" s="1263"/>
      <c r="BO83" s="1263"/>
      <c r="BP83" s="1263"/>
      <c r="BQ83" s="1263"/>
      <c r="BR83" s="1263"/>
      <c r="BS83" s="1263"/>
      <c r="BT83" s="1263"/>
      <c r="BU83" s="1263"/>
      <c r="BV83" s="1263"/>
      <c r="BW83" s="1263"/>
      <c r="BX83" s="1263"/>
      <c r="BY83" s="1263"/>
      <c r="BZ83" s="1263"/>
      <c r="CA83" s="1263"/>
      <c r="CB83" s="1263"/>
      <c r="CC83" s="1263"/>
      <c r="CD83" s="1263"/>
      <c r="CE83" s="1263"/>
      <c r="CF83" s="1263"/>
      <c r="CG83" s="1263"/>
      <c r="CH83" s="1263"/>
      <c r="CI83" s="1263"/>
      <c r="CJ83" s="1263"/>
      <c r="CK83" s="1263"/>
      <c r="CL83" s="1263"/>
    </row>
    <row r="84" spans="1:90">
      <c r="A84" s="1264">
        <f t="shared" si="1"/>
        <v>83</v>
      </c>
      <c r="B84" s="1271" t="s">
        <v>477</v>
      </c>
      <c r="C84" s="1263" t="s">
        <v>374</v>
      </c>
      <c r="D84" s="1263" t="s">
        <v>374</v>
      </c>
      <c r="E84" s="1266">
        <v>95.2</v>
      </c>
      <c r="F84" s="1266">
        <v>101.8</v>
      </c>
      <c r="G84" s="1266">
        <v>3796</v>
      </c>
      <c r="H84" s="1266">
        <v>2136</v>
      </c>
      <c r="I84" s="1266">
        <v>5583</v>
      </c>
      <c r="J84" s="1266">
        <v>6.0570000000000004</v>
      </c>
      <c r="K84" s="1266">
        <v>2139.9899999999998</v>
      </c>
      <c r="L84" s="1267">
        <v>70</v>
      </c>
      <c r="M84" s="1266">
        <v>15.8</v>
      </c>
      <c r="N84" s="1263" t="s">
        <v>443</v>
      </c>
      <c r="O84" s="1263" t="s">
        <v>225</v>
      </c>
      <c r="P84" s="1263" t="s">
        <v>224</v>
      </c>
      <c r="Q84" s="1268">
        <v>3978.6080000000002</v>
      </c>
      <c r="R84" s="1268">
        <v>2.56</v>
      </c>
      <c r="S84" s="1272">
        <v>43138</v>
      </c>
      <c r="T84" s="1272">
        <v>43144</v>
      </c>
      <c r="U84" s="1270">
        <v>20</v>
      </c>
      <c r="V84" s="1273" t="s">
        <v>5</v>
      </c>
      <c r="W84" s="1270">
        <v>100</v>
      </c>
      <c r="X84" s="1263" t="s">
        <v>5</v>
      </c>
      <c r="Y84" s="1270">
        <v>60</v>
      </c>
      <c r="Z84" s="1263" t="s">
        <v>5</v>
      </c>
      <c r="AA84" s="1270">
        <v>465</v>
      </c>
      <c r="AB84" s="1270">
        <v>465</v>
      </c>
      <c r="AC84" s="1270">
        <v>558</v>
      </c>
      <c r="AD84" s="1270">
        <v>558</v>
      </c>
      <c r="AE84" s="1270">
        <v>525</v>
      </c>
      <c r="AF84" s="1270">
        <v>507</v>
      </c>
      <c r="AG84" s="1270">
        <v>219</v>
      </c>
      <c r="AH84" s="1270">
        <v>219</v>
      </c>
      <c r="AI84" s="1270">
        <v>380</v>
      </c>
      <c r="AJ84" s="1270">
        <v>380</v>
      </c>
      <c r="AK84" s="1270">
        <v>301</v>
      </c>
      <c r="AL84" s="1270">
        <v>316</v>
      </c>
      <c r="AM84" s="1270"/>
      <c r="AN84" s="1263"/>
      <c r="AO84" s="1263"/>
      <c r="AP84" s="1263" t="str">
        <f ca="1"/>
        <v>LYRA</v>
      </c>
      <c r="AQ84" s="1263"/>
      <c r="AR84" s="1263"/>
      <c r="AS84" s="1263"/>
      <c r="AT84" s="1263"/>
      <c r="AU84" s="1263"/>
      <c r="AV84" s="1263"/>
      <c r="AW84" s="1263"/>
      <c r="AX84" s="1263"/>
      <c r="AY84" s="1263"/>
      <c r="AZ84" s="1263"/>
      <c r="BA84" s="1263"/>
      <c r="BB84" s="1263"/>
      <c r="BC84" s="1263"/>
      <c r="BD84" s="1263"/>
      <c r="BE84" s="1263"/>
      <c r="BF84" s="1263"/>
      <c r="BG84" s="1263"/>
      <c r="BH84" s="1263"/>
      <c r="BI84" s="1263"/>
      <c r="BJ84" s="1263"/>
      <c r="BK84" s="1263"/>
      <c r="BL84" s="1263"/>
      <c r="BM84" s="1263"/>
      <c r="BN84" s="1263"/>
      <c r="BO84" s="1263"/>
      <c r="BP84" s="1263"/>
      <c r="BQ84" s="1263"/>
      <c r="BR84" s="1263"/>
      <c r="BS84" s="1263"/>
      <c r="BT84" s="1263"/>
      <c r="BU84" s="1263"/>
      <c r="BV84" s="1263"/>
      <c r="BW84" s="1263"/>
      <c r="BX84" s="1263"/>
      <c r="BY84" s="1263"/>
      <c r="BZ84" s="1263"/>
      <c r="CA84" s="1263"/>
      <c r="CB84" s="1263"/>
      <c r="CC84" s="1263"/>
      <c r="CD84" s="1263"/>
      <c r="CE84" s="1263"/>
      <c r="CF84" s="1263"/>
      <c r="CG84" s="1263"/>
      <c r="CH84" s="1263"/>
      <c r="CI84" s="1263"/>
      <c r="CJ84" s="1263"/>
      <c r="CK84" s="1263"/>
      <c r="CL84" s="1263"/>
    </row>
    <row r="85" spans="1:90">
      <c r="A85" s="1264">
        <f t="shared" si="1"/>
        <v>84</v>
      </c>
      <c r="B85" s="1271" t="s">
        <v>478</v>
      </c>
      <c r="C85" s="1263" t="s">
        <v>412</v>
      </c>
      <c r="D85" s="1263" t="s">
        <v>413</v>
      </c>
      <c r="E85" s="1266">
        <v>81</v>
      </c>
      <c r="F85" s="1266">
        <v>87.8</v>
      </c>
      <c r="G85" s="1266">
        <v>2461</v>
      </c>
      <c r="H85" s="1266">
        <v>1369</v>
      </c>
      <c r="I85" s="1266">
        <v>3793</v>
      </c>
      <c r="J85" s="1266">
        <v>5.6029999999999998</v>
      </c>
      <c r="K85" s="1266">
        <v>1221</v>
      </c>
      <c r="L85" s="1267">
        <v>30</v>
      </c>
      <c r="M85" s="1266">
        <v>12.8</v>
      </c>
      <c r="N85" s="1263" t="s">
        <v>394</v>
      </c>
      <c r="O85" s="1263" t="s">
        <v>225</v>
      </c>
      <c r="P85" s="1263" t="s">
        <v>364</v>
      </c>
      <c r="Q85" s="1268">
        <v>3190.02</v>
      </c>
      <c r="R85" s="1268">
        <v>1.52</v>
      </c>
      <c r="S85" s="1272">
        <v>44365</v>
      </c>
      <c r="T85" s="1272">
        <v>44371</v>
      </c>
      <c r="U85" s="1270">
        <v>180</v>
      </c>
      <c r="V85" s="1273" t="s">
        <v>5</v>
      </c>
      <c r="W85" s="1270">
        <v>205</v>
      </c>
      <c r="X85" s="1263" t="s">
        <v>5</v>
      </c>
      <c r="Y85" s="1270">
        <v>107</v>
      </c>
      <c r="Z85" s="1263" t="s">
        <v>5</v>
      </c>
      <c r="AA85" s="1270">
        <v>518</v>
      </c>
      <c r="AB85" s="1270">
        <v>518</v>
      </c>
      <c r="AC85" s="1270">
        <v>515</v>
      </c>
      <c r="AD85" s="1270">
        <v>515</v>
      </c>
      <c r="AE85" s="1270">
        <v>515</v>
      </c>
      <c r="AF85" s="1270">
        <v>522</v>
      </c>
      <c r="AG85" s="1270">
        <v>280</v>
      </c>
      <c r="AH85" s="1270">
        <v>280</v>
      </c>
      <c r="AI85" s="1270">
        <v>314</v>
      </c>
      <c r="AJ85" s="1270">
        <v>314</v>
      </c>
      <c r="AK85" s="1270">
        <v>304</v>
      </c>
      <c r="AL85" s="1270">
        <v>287</v>
      </c>
      <c r="AM85" s="1270"/>
      <c r="AN85" s="1263"/>
      <c r="AO85" s="1263"/>
      <c r="AP85" s="1263" t="str">
        <f ca="1"/>
        <v>MUZAFER BEY</v>
      </c>
      <c r="AQ85" s="1263"/>
      <c r="AR85" s="1263"/>
      <c r="AS85" s="1263"/>
      <c r="AT85" s="1263"/>
      <c r="AU85" s="1263"/>
      <c r="AV85" s="1263"/>
      <c r="AW85" s="1263"/>
      <c r="AX85" s="1263"/>
      <c r="AY85" s="1263"/>
      <c r="AZ85" s="1263"/>
      <c r="BA85" s="1263"/>
      <c r="BB85" s="1263"/>
      <c r="BC85" s="1263"/>
      <c r="BD85" s="1263"/>
      <c r="BE85" s="1263"/>
      <c r="BF85" s="1263"/>
      <c r="BG85" s="1263"/>
      <c r="BH85" s="1263"/>
      <c r="BI85" s="1263"/>
      <c r="BJ85" s="1263"/>
      <c r="BK85" s="1263"/>
      <c r="BL85" s="1263"/>
      <c r="BM85" s="1263"/>
      <c r="BN85" s="1263"/>
      <c r="BO85" s="1263"/>
      <c r="BP85" s="1263"/>
      <c r="BQ85" s="1263"/>
      <c r="BR85" s="1263"/>
      <c r="BS85" s="1263"/>
      <c r="BT85" s="1263"/>
      <c r="BU85" s="1263"/>
      <c r="BV85" s="1263"/>
      <c r="BW85" s="1263"/>
      <c r="BX85" s="1263"/>
      <c r="BY85" s="1263"/>
      <c r="BZ85" s="1263"/>
      <c r="CA85" s="1263"/>
      <c r="CB85" s="1263"/>
      <c r="CC85" s="1263"/>
      <c r="CD85" s="1263"/>
      <c r="CE85" s="1263"/>
      <c r="CF85" s="1263"/>
      <c r="CG85" s="1263"/>
      <c r="CH85" s="1263"/>
      <c r="CI85" s="1263"/>
      <c r="CJ85" s="1263"/>
      <c r="CK85" s="1263"/>
      <c r="CL85" s="1263"/>
    </row>
    <row r="86" spans="1:90">
      <c r="A86" s="1264">
        <f t="shared" si="1"/>
        <v>85</v>
      </c>
      <c r="B86" s="1271" t="s">
        <v>479</v>
      </c>
      <c r="C86" s="1263" t="s">
        <v>300</v>
      </c>
      <c r="D86" s="1263" t="s">
        <v>480</v>
      </c>
      <c r="E86" s="1266">
        <v>84.9</v>
      </c>
      <c r="F86" s="1266">
        <v>88.25</v>
      </c>
      <c r="G86" s="1266">
        <v>2373</v>
      </c>
      <c r="H86" s="1266">
        <v>1434</v>
      </c>
      <c r="I86" s="1266">
        <v>4245</v>
      </c>
      <c r="J86" s="1266">
        <v>5.4630000000000001</v>
      </c>
      <c r="K86" s="1266">
        <v>1044.67</v>
      </c>
      <c r="L86" s="1267">
        <v>34</v>
      </c>
      <c r="M86" s="1266">
        <v>13.17</v>
      </c>
      <c r="N86" s="1263" t="s">
        <v>464</v>
      </c>
      <c r="O86" s="1263" t="s">
        <v>225</v>
      </c>
      <c r="P86" s="1263" t="s">
        <v>364</v>
      </c>
      <c r="Q86" s="1268">
        <v>3086.1979999999999</v>
      </c>
      <c r="R86" s="1268">
        <v>1.5569999999999999</v>
      </c>
      <c r="S86" s="1272">
        <v>44623</v>
      </c>
      <c r="T86" s="1272">
        <v>44631</v>
      </c>
      <c r="U86" s="1270">
        <v>72</v>
      </c>
      <c r="V86" s="1273" t="s">
        <v>5</v>
      </c>
      <c r="W86" s="1270">
        <v>150</v>
      </c>
      <c r="X86" s="1263" t="s">
        <v>5</v>
      </c>
      <c r="Y86" s="1270">
        <v>0</v>
      </c>
      <c r="Z86" s="1263" t="s">
        <v>306</v>
      </c>
      <c r="AA86" s="1270">
        <v>433</v>
      </c>
      <c r="AB86" s="1270">
        <v>433</v>
      </c>
      <c r="AC86" s="1270">
        <v>464</v>
      </c>
      <c r="AD86" s="1270">
        <v>464</v>
      </c>
      <c r="AE86" s="1270">
        <v>428</v>
      </c>
      <c r="AF86" s="1270">
        <v>469</v>
      </c>
      <c r="AG86" s="1270">
        <v>188</v>
      </c>
      <c r="AH86" s="1270">
        <v>188</v>
      </c>
      <c r="AI86" s="1270">
        <v>368</v>
      </c>
      <c r="AJ86" s="1270">
        <v>368</v>
      </c>
      <c r="AK86" s="1270">
        <v>272</v>
      </c>
      <c r="AL86" s="1270">
        <v>274</v>
      </c>
      <c r="AM86" s="1270"/>
      <c r="AN86" s="1263"/>
      <c r="AO86" s="1263"/>
      <c r="AP86" s="1263" t="str">
        <f ca="1"/>
        <v>EMSTAL</v>
      </c>
      <c r="AQ86" s="1263"/>
      <c r="AR86" s="1263"/>
      <c r="AS86" s="1263"/>
      <c r="AT86" s="1263"/>
      <c r="AU86" s="1263"/>
      <c r="AV86" s="1263"/>
      <c r="AW86" s="1263"/>
      <c r="AX86" s="1263"/>
      <c r="AY86" s="1263"/>
      <c r="AZ86" s="1263"/>
      <c r="BA86" s="1263"/>
      <c r="BB86" s="1263"/>
      <c r="BC86" s="1263"/>
      <c r="BD86" s="1263"/>
      <c r="BE86" s="1263"/>
      <c r="BF86" s="1263"/>
      <c r="BG86" s="1263"/>
      <c r="BH86" s="1263"/>
      <c r="BI86" s="1263"/>
      <c r="BJ86" s="1263"/>
      <c r="BK86" s="1263"/>
      <c r="BL86" s="1263"/>
      <c r="BM86" s="1263"/>
      <c r="BN86" s="1263"/>
      <c r="BO86" s="1263"/>
      <c r="BP86" s="1263"/>
      <c r="BQ86" s="1263"/>
      <c r="BR86" s="1263"/>
      <c r="BS86" s="1263"/>
      <c r="BT86" s="1263"/>
      <c r="BU86" s="1263"/>
      <c r="BV86" s="1263"/>
      <c r="BW86" s="1263"/>
      <c r="BX86" s="1263"/>
      <c r="BY86" s="1263"/>
      <c r="BZ86" s="1263"/>
      <c r="CA86" s="1263"/>
      <c r="CB86" s="1263"/>
      <c r="CC86" s="1263"/>
      <c r="CD86" s="1263"/>
      <c r="CE86" s="1263"/>
      <c r="CF86" s="1263"/>
      <c r="CG86" s="1263"/>
      <c r="CH86" s="1263"/>
      <c r="CI86" s="1263"/>
      <c r="CJ86" s="1263"/>
      <c r="CK86" s="1263"/>
      <c r="CL86" s="1263"/>
    </row>
    <row r="87" spans="1:90">
      <c r="A87" s="1264">
        <f t="shared" si="1"/>
        <v>86</v>
      </c>
      <c r="B87" s="1271" t="s">
        <v>481</v>
      </c>
      <c r="C87" s="1263" t="s">
        <v>223</v>
      </c>
      <c r="D87" s="1263" t="s">
        <v>362</v>
      </c>
      <c r="E87" s="1266">
        <v>84.99</v>
      </c>
      <c r="F87" s="1266">
        <v>89.8</v>
      </c>
      <c r="G87" s="1266">
        <v>2834</v>
      </c>
      <c r="H87" s="1266">
        <v>1567</v>
      </c>
      <c r="I87" s="1266">
        <v>4705</v>
      </c>
      <c r="J87" s="1266">
        <v>6.22</v>
      </c>
      <c r="K87" s="1266">
        <v>1384</v>
      </c>
      <c r="L87" s="1267">
        <v>100</v>
      </c>
      <c r="M87" s="1266">
        <v>13.17</v>
      </c>
      <c r="N87" s="1263" t="s">
        <v>390</v>
      </c>
      <c r="O87" s="1263" t="s">
        <v>225</v>
      </c>
      <c r="P87" s="1263" t="s">
        <v>364</v>
      </c>
      <c r="Q87" s="1268">
        <v>3642.1089999999999</v>
      </c>
      <c r="R87" s="1268">
        <v>1.853</v>
      </c>
      <c r="S87" s="1272">
        <v>44254</v>
      </c>
      <c r="T87" s="1272">
        <v>44257</v>
      </c>
      <c r="U87" s="1270">
        <v>90</v>
      </c>
      <c r="V87" s="1273" t="s">
        <v>5</v>
      </c>
      <c r="W87" s="1270">
        <v>180</v>
      </c>
      <c r="X87" s="1263" t="s">
        <v>5</v>
      </c>
      <c r="Y87" s="1270">
        <v>100</v>
      </c>
      <c r="Z87" s="1263" t="s">
        <v>226</v>
      </c>
      <c r="AA87" s="1270">
        <v>555</v>
      </c>
      <c r="AB87" s="1270">
        <v>557</v>
      </c>
      <c r="AC87" s="1270">
        <v>584</v>
      </c>
      <c r="AD87" s="1270">
        <v>584</v>
      </c>
      <c r="AE87" s="1270">
        <v>563</v>
      </c>
      <c r="AF87" s="1270">
        <v>572</v>
      </c>
      <c r="AG87" s="1270">
        <v>280</v>
      </c>
      <c r="AH87" s="1270">
        <v>282</v>
      </c>
      <c r="AI87" s="1270">
        <v>328</v>
      </c>
      <c r="AJ87" s="1270">
        <v>328</v>
      </c>
      <c r="AK87" s="1270">
        <v>315</v>
      </c>
      <c r="AL87" s="1270">
        <v>315</v>
      </c>
      <c r="AM87" s="1270"/>
      <c r="AN87" s="1263"/>
      <c r="AO87" s="1263"/>
      <c r="AP87" s="1263" t="str">
        <f ca="1"/>
        <v>BIMI</v>
      </c>
      <c r="AQ87" s="1263"/>
      <c r="AR87" s="1263"/>
      <c r="AS87" s="1263"/>
      <c r="AT87" s="1263"/>
      <c r="AU87" s="1263"/>
      <c r="AV87" s="1263"/>
      <c r="AW87" s="1263"/>
      <c r="AX87" s="1263"/>
      <c r="AY87" s="1263"/>
      <c r="AZ87" s="1263"/>
      <c r="BA87" s="1263"/>
      <c r="BB87" s="1263"/>
      <c r="BC87" s="1263"/>
      <c r="BD87" s="1263"/>
      <c r="BE87" s="1263"/>
      <c r="BF87" s="1263"/>
      <c r="BG87" s="1263"/>
      <c r="BH87" s="1263"/>
      <c r="BI87" s="1263"/>
      <c r="BJ87" s="1263"/>
      <c r="BK87" s="1263"/>
      <c r="BL87" s="1263"/>
      <c r="BM87" s="1263"/>
      <c r="BN87" s="1263"/>
      <c r="BO87" s="1263"/>
      <c r="BP87" s="1263"/>
      <c r="BQ87" s="1263"/>
      <c r="BR87" s="1263"/>
      <c r="BS87" s="1263"/>
      <c r="BT87" s="1263"/>
      <c r="BU87" s="1263"/>
      <c r="BV87" s="1263"/>
      <c r="BW87" s="1263"/>
      <c r="BX87" s="1263"/>
      <c r="BY87" s="1263"/>
      <c r="BZ87" s="1263"/>
      <c r="CA87" s="1263"/>
      <c r="CB87" s="1263"/>
      <c r="CC87" s="1263"/>
      <c r="CD87" s="1263"/>
      <c r="CE87" s="1263"/>
      <c r="CF87" s="1263"/>
      <c r="CG87" s="1263"/>
      <c r="CH87" s="1263"/>
      <c r="CI87" s="1263"/>
      <c r="CJ87" s="1263"/>
      <c r="CK87" s="1263"/>
      <c r="CL87" s="1263"/>
    </row>
    <row r="88" spans="1:90">
      <c r="A88" s="1264">
        <f t="shared" si="1"/>
        <v>87</v>
      </c>
      <c r="B88" s="1271" t="s">
        <v>482</v>
      </c>
      <c r="C88" s="1263" t="s">
        <v>483</v>
      </c>
      <c r="D88" s="1263" t="s">
        <v>484</v>
      </c>
      <c r="E88" s="1266">
        <v>106</v>
      </c>
      <c r="F88" s="1266">
        <v>112.8</v>
      </c>
      <c r="G88" s="1266">
        <v>5087</v>
      </c>
      <c r="H88" s="1266">
        <v>2625</v>
      </c>
      <c r="I88" s="1266">
        <v>7532.6</v>
      </c>
      <c r="J88" s="1266">
        <v>7.0060000000000002</v>
      </c>
      <c r="K88" s="1266">
        <v>2634.59</v>
      </c>
      <c r="L88" s="1267">
        <v>125</v>
      </c>
      <c r="M88" s="1266">
        <v>17.2</v>
      </c>
      <c r="N88" s="1263" t="s">
        <v>431</v>
      </c>
      <c r="O88" s="1263" t="s">
        <v>225</v>
      </c>
      <c r="P88" s="1263" t="s">
        <v>364</v>
      </c>
      <c r="Q88" s="1268">
        <v>4676.0039999999999</v>
      </c>
      <c r="R88" s="1268">
        <v>1.1519999999999999</v>
      </c>
      <c r="S88" s="1272">
        <v>44348</v>
      </c>
      <c r="T88" s="1272">
        <v>44355</v>
      </c>
      <c r="U88" s="1270">
        <v>30</v>
      </c>
      <c r="V88" s="1273" t="s">
        <v>5</v>
      </c>
      <c r="W88" s="1270">
        <v>0</v>
      </c>
      <c r="X88" s="1263" t="s">
        <v>414</v>
      </c>
      <c r="Y88" s="1270">
        <v>31.3</v>
      </c>
      <c r="Z88" s="1263" t="s">
        <v>5</v>
      </c>
      <c r="AA88" s="1270">
        <v>537</v>
      </c>
      <c r="AB88" s="1270">
        <v>537</v>
      </c>
      <c r="AC88" s="1270">
        <v>629</v>
      </c>
      <c r="AD88" s="1270">
        <v>629</v>
      </c>
      <c r="AE88" s="1270">
        <v>606</v>
      </c>
      <c r="AF88" s="1270">
        <v>551</v>
      </c>
      <c r="AG88" s="1270">
        <v>290</v>
      </c>
      <c r="AH88" s="1270">
        <v>290</v>
      </c>
      <c r="AI88" s="1270">
        <v>420</v>
      </c>
      <c r="AJ88" s="1270">
        <v>420</v>
      </c>
      <c r="AK88" s="1270">
        <v>355</v>
      </c>
      <c r="AL88" s="1270">
        <v>370</v>
      </c>
      <c r="AM88" s="1270"/>
      <c r="AN88" s="1263"/>
      <c r="AO88" s="1263"/>
      <c r="AP88" s="1263" t="str">
        <f ca="1"/>
        <v>CHRISTINE</v>
      </c>
      <c r="AQ88" s="1263"/>
      <c r="AR88" s="1263"/>
      <c r="AS88" s="1263"/>
      <c r="AT88" s="1263"/>
      <c r="AU88" s="1263"/>
      <c r="AV88" s="1263"/>
      <c r="AW88" s="1263"/>
      <c r="AX88" s="1263"/>
      <c r="AY88" s="1263"/>
      <c r="AZ88" s="1263"/>
      <c r="BA88" s="1263"/>
      <c r="BB88" s="1263"/>
      <c r="BC88" s="1263"/>
      <c r="BD88" s="1263"/>
      <c r="BE88" s="1263"/>
      <c r="BF88" s="1263"/>
      <c r="BG88" s="1263"/>
      <c r="BH88" s="1263"/>
      <c r="BI88" s="1263"/>
      <c r="BJ88" s="1263"/>
      <c r="BK88" s="1263"/>
      <c r="BL88" s="1263"/>
      <c r="BM88" s="1263"/>
      <c r="BN88" s="1263"/>
      <c r="BO88" s="1263"/>
      <c r="BP88" s="1263"/>
      <c r="BQ88" s="1263"/>
      <c r="BR88" s="1263"/>
      <c r="BS88" s="1263"/>
      <c r="BT88" s="1263"/>
      <c r="BU88" s="1263"/>
      <c r="BV88" s="1263"/>
      <c r="BW88" s="1263"/>
      <c r="BX88" s="1263"/>
      <c r="BY88" s="1263"/>
      <c r="BZ88" s="1263"/>
      <c r="CA88" s="1263"/>
      <c r="CB88" s="1263"/>
      <c r="CC88" s="1263"/>
      <c r="CD88" s="1263"/>
      <c r="CE88" s="1263"/>
      <c r="CF88" s="1263"/>
      <c r="CG88" s="1263"/>
      <c r="CH88" s="1263"/>
      <c r="CI88" s="1263"/>
      <c r="CJ88" s="1263"/>
      <c r="CK88" s="1263"/>
      <c r="CL88" s="1263"/>
    </row>
    <row r="89" spans="1:90">
      <c r="A89" s="1264">
        <f t="shared" si="1"/>
        <v>88</v>
      </c>
      <c r="B89" s="1271" t="s">
        <v>485</v>
      </c>
      <c r="C89" s="1263" t="s">
        <v>400</v>
      </c>
      <c r="D89" s="1263" t="s">
        <v>401</v>
      </c>
      <c r="E89" s="1266">
        <v>115.47</v>
      </c>
      <c r="F89" s="1266">
        <v>123.04</v>
      </c>
      <c r="G89" s="1266">
        <v>6118</v>
      </c>
      <c r="H89" s="1266">
        <v>2966</v>
      </c>
      <c r="I89" s="1266">
        <v>8286.7900000000009</v>
      </c>
      <c r="J89" s="1266">
        <v>7.4</v>
      </c>
      <c r="K89" s="1266">
        <v>3353.16</v>
      </c>
      <c r="L89" s="1267">
        <v>55</v>
      </c>
      <c r="M89" s="1266">
        <v>16.515000000000001</v>
      </c>
      <c r="N89" s="1263" t="s">
        <v>390</v>
      </c>
      <c r="O89" s="1263" t="s">
        <v>225</v>
      </c>
      <c r="P89" s="1263" t="s">
        <v>364</v>
      </c>
      <c r="Q89" s="1268">
        <v>5419.7439999999997</v>
      </c>
      <c r="R89" s="1268">
        <v>2.0979999999999999</v>
      </c>
      <c r="S89" s="1272">
        <v>44404</v>
      </c>
      <c r="T89" s="1272">
        <v>44410</v>
      </c>
      <c r="U89" s="1270">
        <v>60</v>
      </c>
      <c r="V89" s="1273" t="s">
        <v>5</v>
      </c>
      <c r="W89" s="1270">
        <v>216</v>
      </c>
      <c r="X89" s="1263" t="s">
        <v>5</v>
      </c>
      <c r="Y89" s="1270">
        <v>0</v>
      </c>
      <c r="Z89" s="1263" t="s">
        <v>306</v>
      </c>
      <c r="AA89" s="1270">
        <v>596</v>
      </c>
      <c r="AB89" s="1270">
        <v>596</v>
      </c>
      <c r="AC89" s="1270">
        <v>692</v>
      </c>
      <c r="AD89" s="1270">
        <v>692</v>
      </c>
      <c r="AE89" s="1270">
        <v>647</v>
      </c>
      <c r="AF89" s="1270">
        <v>641</v>
      </c>
      <c r="AG89" s="1270">
        <v>354</v>
      </c>
      <c r="AH89" s="1270">
        <v>354</v>
      </c>
      <c r="AI89" s="1270">
        <v>525</v>
      </c>
      <c r="AJ89" s="1270">
        <v>525</v>
      </c>
      <c r="AK89" s="1270">
        <v>436</v>
      </c>
      <c r="AL89" s="1270">
        <v>433.5</v>
      </c>
      <c r="AM89" s="1270"/>
      <c r="AN89" s="1263"/>
      <c r="AO89" s="1263"/>
      <c r="AP89" s="1263" t="str">
        <f ca="1"/>
        <v>NAVIN OSPREY</v>
      </c>
      <c r="AQ89" s="1263"/>
      <c r="AR89" s="1263"/>
      <c r="AS89" s="1263"/>
      <c r="AT89" s="1263"/>
      <c r="AU89" s="1263"/>
      <c r="AV89" s="1263"/>
      <c r="AW89" s="1263"/>
      <c r="AX89" s="1263"/>
      <c r="AY89" s="1263"/>
      <c r="AZ89" s="1263"/>
      <c r="BA89" s="1263"/>
      <c r="BB89" s="1263"/>
      <c r="BC89" s="1263"/>
      <c r="BD89" s="1263"/>
      <c r="BE89" s="1263"/>
      <c r="BF89" s="1263"/>
      <c r="BG89" s="1263"/>
      <c r="BH89" s="1263"/>
      <c r="BI89" s="1263"/>
      <c r="BJ89" s="1263"/>
      <c r="BK89" s="1263"/>
      <c r="BL89" s="1263"/>
      <c r="BM89" s="1263"/>
      <c r="BN89" s="1263"/>
      <c r="BO89" s="1263"/>
      <c r="BP89" s="1263"/>
      <c r="BQ89" s="1263"/>
      <c r="BR89" s="1263"/>
      <c r="BS89" s="1263"/>
      <c r="BT89" s="1263"/>
      <c r="BU89" s="1263"/>
      <c r="BV89" s="1263"/>
      <c r="BW89" s="1263"/>
      <c r="BX89" s="1263"/>
      <c r="BY89" s="1263"/>
      <c r="BZ89" s="1263"/>
      <c r="CA89" s="1263"/>
      <c r="CB89" s="1263"/>
      <c r="CC89" s="1263"/>
      <c r="CD89" s="1263"/>
      <c r="CE89" s="1263"/>
      <c r="CF89" s="1263"/>
      <c r="CG89" s="1263"/>
      <c r="CH89" s="1263"/>
      <c r="CI89" s="1263"/>
      <c r="CJ89" s="1263"/>
      <c r="CK89" s="1263"/>
      <c r="CL89" s="1263"/>
    </row>
    <row r="90" spans="1:90">
      <c r="A90" s="1264">
        <f t="shared" si="1"/>
        <v>89</v>
      </c>
      <c r="B90" s="1271" t="s">
        <v>486</v>
      </c>
      <c r="C90" s="1263" t="s">
        <v>474</v>
      </c>
      <c r="D90" s="1263" t="s">
        <v>475</v>
      </c>
      <c r="E90" s="1266">
        <v>96</v>
      </c>
      <c r="F90" s="1266">
        <v>100.7</v>
      </c>
      <c r="G90" s="1266">
        <v>3796</v>
      </c>
      <c r="H90" s="1266">
        <v>2075</v>
      </c>
      <c r="I90" s="1266">
        <v>5535</v>
      </c>
      <c r="J90" s="1266">
        <v>5.4969999999999999</v>
      </c>
      <c r="K90" s="1266">
        <v>1860.5</v>
      </c>
      <c r="L90" s="1267">
        <v>37</v>
      </c>
      <c r="M90" s="1266">
        <v>16</v>
      </c>
      <c r="N90" s="1263" t="s">
        <v>394</v>
      </c>
      <c r="O90" s="1263" t="s">
        <v>225</v>
      </c>
      <c r="P90" s="1263" t="s">
        <v>364</v>
      </c>
      <c r="Q90" s="1268">
        <v>5045.2309999999998</v>
      </c>
      <c r="R90" s="1268">
        <v>1.853</v>
      </c>
      <c r="S90" s="1272">
        <v>44244</v>
      </c>
      <c r="T90" s="1272">
        <v>44247</v>
      </c>
      <c r="U90" s="1270">
        <v>90</v>
      </c>
      <c r="V90" s="1273" t="s">
        <v>5</v>
      </c>
      <c r="W90" s="1270">
        <v>180</v>
      </c>
      <c r="X90" s="1263" t="s">
        <v>5</v>
      </c>
      <c r="Y90" s="1270">
        <v>100</v>
      </c>
      <c r="Z90" s="1263" t="s">
        <v>5</v>
      </c>
      <c r="AA90" s="1270">
        <v>512</v>
      </c>
      <c r="AB90" s="1270">
        <v>508</v>
      </c>
      <c r="AC90" s="1270">
        <v>546</v>
      </c>
      <c r="AD90" s="1270">
        <v>546</v>
      </c>
      <c r="AE90" s="1270">
        <v>555</v>
      </c>
      <c r="AF90" s="1270">
        <v>518</v>
      </c>
      <c r="AG90" s="1270">
        <v>245</v>
      </c>
      <c r="AH90" s="1270">
        <v>247</v>
      </c>
      <c r="AI90" s="1270">
        <v>372</v>
      </c>
      <c r="AJ90" s="1270">
        <v>372</v>
      </c>
      <c r="AK90" s="1270">
        <v>304</v>
      </c>
      <c r="AL90" s="1270">
        <v>319</v>
      </c>
      <c r="AM90" s="1270"/>
      <c r="AN90" s="1263"/>
      <c r="AO90" s="1263"/>
      <c r="AP90" s="1263" t="str">
        <f ca="1"/>
        <v>WILSON NORFOLK</v>
      </c>
      <c r="AQ90" s="1263"/>
      <c r="AR90" s="1263"/>
      <c r="AS90" s="1263"/>
      <c r="AT90" s="1263"/>
      <c r="AU90" s="1263"/>
      <c r="AV90" s="1263"/>
      <c r="AW90" s="1263"/>
      <c r="AX90" s="1263"/>
      <c r="AY90" s="1263"/>
      <c r="AZ90" s="1263"/>
      <c r="BA90" s="1263"/>
      <c r="BB90" s="1263"/>
      <c r="BC90" s="1263"/>
      <c r="BD90" s="1263"/>
      <c r="BE90" s="1263"/>
      <c r="BF90" s="1263"/>
      <c r="BG90" s="1263"/>
      <c r="BH90" s="1263"/>
      <c r="BI90" s="1263"/>
      <c r="BJ90" s="1263"/>
      <c r="BK90" s="1263"/>
      <c r="BL90" s="1263"/>
      <c r="BM90" s="1263"/>
      <c r="BN90" s="1263"/>
      <c r="BO90" s="1263"/>
      <c r="BP90" s="1263"/>
      <c r="BQ90" s="1263"/>
      <c r="BR90" s="1263"/>
      <c r="BS90" s="1263"/>
      <c r="BT90" s="1263"/>
      <c r="BU90" s="1263"/>
      <c r="BV90" s="1263"/>
      <c r="BW90" s="1263"/>
      <c r="BX90" s="1263"/>
      <c r="BY90" s="1263"/>
      <c r="BZ90" s="1263"/>
      <c r="CA90" s="1263"/>
      <c r="CB90" s="1263"/>
      <c r="CC90" s="1263"/>
      <c r="CD90" s="1263"/>
      <c r="CE90" s="1263"/>
      <c r="CF90" s="1263"/>
      <c r="CG90" s="1263"/>
      <c r="CH90" s="1263"/>
      <c r="CI90" s="1263"/>
      <c r="CJ90" s="1263"/>
      <c r="CK90" s="1263"/>
      <c r="CL90" s="1263"/>
    </row>
    <row r="91" spans="1:90">
      <c r="A91" s="1264">
        <f t="shared" si="1"/>
        <v>90</v>
      </c>
      <c r="B91" s="1271" t="s">
        <v>487</v>
      </c>
      <c r="C91" s="1263" t="s">
        <v>488</v>
      </c>
      <c r="D91" s="1263" t="s">
        <v>489</v>
      </c>
      <c r="E91" s="1266">
        <v>79.22</v>
      </c>
      <c r="F91" s="1266">
        <v>82.25</v>
      </c>
      <c r="G91" s="1266">
        <v>1552</v>
      </c>
      <c r="H91" s="1266">
        <v>804</v>
      </c>
      <c r="I91" s="1266">
        <v>1824</v>
      </c>
      <c r="J91" s="1266">
        <v>3.4079999999999999</v>
      </c>
      <c r="K91" s="1266">
        <v>753.56399999999996</v>
      </c>
      <c r="L91" s="1267">
        <v>38</v>
      </c>
      <c r="M91" s="1266">
        <v>11.3</v>
      </c>
      <c r="N91" s="1263" t="s">
        <v>490</v>
      </c>
      <c r="O91" s="1263" t="s">
        <v>225</v>
      </c>
      <c r="P91" s="1263" t="s">
        <v>364</v>
      </c>
      <c r="Q91" s="1268">
        <v>1402.9580000000001</v>
      </c>
      <c r="R91" s="1268">
        <v>1.05</v>
      </c>
      <c r="S91" s="1272">
        <v>44254</v>
      </c>
      <c r="T91" s="1272">
        <v>44255</v>
      </c>
      <c r="U91" s="1270">
        <v>450</v>
      </c>
      <c r="V91" s="1273" t="s">
        <v>5</v>
      </c>
      <c r="W91" s="1270">
        <v>140</v>
      </c>
      <c r="X91" s="1263" t="s">
        <v>5</v>
      </c>
      <c r="Y91" s="1270">
        <v>0</v>
      </c>
      <c r="Z91" s="1263" t="s">
        <v>306</v>
      </c>
      <c r="AA91" s="1270">
        <v>295</v>
      </c>
      <c r="AB91" s="1270">
        <v>295</v>
      </c>
      <c r="AC91" s="1270">
        <v>325</v>
      </c>
      <c r="AD91" s="1270">
        <v>325</v>
      </c>
      <c r="AE91" s="1270">
        <v>308</v>
      </c>
      <c r="AF91" s="1270">
        <v>306</v>
      </c>
      <c r="AG91" s="1270">
        <v>232</v>
      </c>
      <c r="AH91" s="1270">
        <v>232</v>
      </c>
      <c r="AI91" s="1270">
        <v>232</v>
      </c>
      <c r="AJ91" s="1270">
        <v>232</v>
      </c>
      <c r="AK91" s="1270">
        <v>233</v>
      </c>
      <c r="AL91" s="1270">
        <v>232</v>
      </c>
      <c r="AM91" s="1270"/>
      <c r="AN91" s="1263"/>
      <c r="AO91" s="1263"/>
      <c r="AP91" s="1263" t="str">
        <f ca="1"/>
        <v>KRISTEN B</v>
      </c>
      <c r="AQ91" s="1263"/>
      <c r="AR91" s="1263"/>
      <c r="AS91" s="1263"/>
      <c r="AT91" s="1263"/>
      <c r="AU91" s="1263"/>
      <c r="AV91" s="1263"/>
      <c r="AW91" s="1263"/>
      <c r="AX91" s="1263"/>
      <c r="AY91" s="1263"/>
      <c r="AZ91" s="1263"/>
      <c r="BA91" s="1263"/>
      <c r="BB91" s="1263"/>
      <c r="BC91" s="1263"/>
      <c r="BD91" s="1263"/>
      <c r="BE91" s="1263"/>
      <c r="BF91" s="1263"/>
      <c r="BG91" s="1263"/>
      <c r="BH91" s="1263"/>
      <c r="BI91" s="1263"/>
      <c r="BJ91" s="1263"/>
      <c r="BK91" s="1263"/>
      <c r="BL91" s="1263"/>
      <c r="BM91" s="1263"/>
      <c r="BN91" s="1263"/>
      <c r="BO91" s="1263"/>
      <c r="BP91" s="1263"/>
      <c r="BQ91" s="1263"/>
      <c r="BR91" s="1263"/>
      <c r="BS91" s="1263"/>
      <c r="BT91" s="1263"/>
      <c r="BU91" s="1263"/>
      <c r="BV91" s="1263"/>
      <c r="BW91" s="1263"/>
      <c r="BX91" s="1263"/>
      <c r="BY91" s="1263"/>
      <c r="BZ91" s="1263"/>
      <c r="CA91" s="1263"/>
      <c r="CB91" s="1263"/>
      <c r="CC91" s="1263"/>
      <c r="CD91" s="1263"/>
      <c r="CE91" s="1263"/>
      <c r="CF91" s="1263"/>
      <c r="CG91" s="1263"/>
      <c r="CH91" s="1263"/>
      <c r="CI91" s="1263"/>
      <c r="CJ91" s="1263"/>
      <c r="CK91" s="1263"/>
      <c r="CL91" s="1263"/>
    </row>
    <row r="92" spans="1:90">
      <c r="A92" s="1264">
        <f t="shared" si="1"/>
        <v>91</v>
      </c>
      <c r="B92" s="1271" t="s">
        <v>491</v>
      </c>
      <c r="C92" s="1263" t="s">
        <v>392</v>
      </c>
      <c r="D92" s="1263" t="s">
        <v>393</v>
      </c>
      <c r="E92" s="1266">
        <v>183.3</v>
      </c>
      <c r="F92" s="1266">
        <v>190</v>
      </c>
      <c r="G92" s="1266">
        <v>33338</v>
      </c>
      <c r="H92" s="1266">
        <v>18901</v>
      </c>
      <c r="I92" s="1266">
        <v>57254.5</v>
      </c>
      <c r="J92" s="1266">
        <v>13.02</v>
      </c>
      <c r="K92" s="1266">
        <v>10555.9</v>
      </c>
      <c r="L92" s="1267">
        <v>350</v>
      </c>
      <c r="M92" s="1266">
        <v>32.26</v>
      </c>
      <c r="N92" s="1263" t="s">
        <v>225</v>
      </c>
      <c r="O92" s="1263" t="s">
        <v>492</v>
      </c>
      <c r="P92" s="1263" t="s">
        <v>493</v>
      </c>
      <c r="Q92" s="1268">
        <v>27943.98</v>
      </c>
      <c r="R92" s="1268">
        <v>5.48</v>
      </c>
      <c r="S92" s="1272">
        <v>44457</v>
      </c>
      <c r="T92" s="1272">
        <v>44461</v>
      </c>
      <c r="U92" s="1270">
        <v>390</v>
      </c>
      <c r="V92" s="1273" t="s">
        <v>5</v>
      </c>
      <c r="W92" s="1270">
        <v>1010</v>
      </c>
      <c r="X92" s="1263" t="s">
        <v>226</v>
      </c>
      <c r="Y92" s="1270">
        <v>0</v>
      </c>
      <c r="Z92" s="1263" t="s">
        <v>306</v>
      </c>
      <c r="AA92" s="1270">
        <v>476</v>
      </c>
      <c r="AB92" s="1270">
        <v>475</v>
      </c>
      <c r="AC92" s="1270">
        <v>688</v>
      </c>
      <c r="AD92" s="1270">
        <v>688</v>
      </c>
      <c r="AE92" s="1270">
        <v>579</v>
      </c>
      <c r="AF92" s="1270">
        <v>573</v>
      </c>
      <c r="AG92" s="1270">
        <v>945</v>
      </c>
      <c r="AH92" s="1270">
        <v>945</v>
      </c>
      <c r="AI92" s="1270">
        <v>987</v>
      </c>
      <c r="AJ92" s="1270">
        <v>988</v>
      </c>
      <c r="AK92" s="1270">
        <v>965</v>
      </c>
      <c r="AL92" s="1270">
        <v>965</v>
      </c>
      <c r="AM92" s="1270"/>
      <c r="AN92" s="1263"/>
      <c r="AO92" s="1263"/>
      <c r="AP92" s="1263" t="str">
        <f ca="1"/>
        <v>MINSTREL</v>
      </c>
      <c r="AQ92" s="1263"/>
      <c r="AR92" s="1263"/>
      <c r="AS92" s="1263"/>
      <c r="AT92" s="1263"/>
      <c r="AU92" s="1263"/>
      <c r="AV92" s="1263"/>
      <c r="AW92" s="1263"/>
      <c r="AX92" s="1263"/>
      <c r="AY92" s="1263"/>
      <c r="AZ92" s="1263"/>
      <c r="BA92" s="1263"/>
      <c r="BB92" s="1263"/>
      <c r="BC92" s="1263"/>
      <c r="BD92" s="1263"/>
      <c r="BE92" s="1263"/>
      <c r="BF92" s="1263"/>
      <c r="BG92" s="1263"/>
      <c r="BH92" s="1263"/>
      <c r="BI92" s="1263"/>
      <c r="BJ92" s="1263"/>
      <c r="BK92" s="1263"/>
      <c r="BL92" s="1263"/>
      <c r="BM92" s="1263"/>
      <c r="BN92" s="1263"/>
      <c r="BO92" s="1263"/>
      <c r="BP92" s="1263"/>
      <c r="BQ92" s="1263"/>
      <c r="BR92" s="1263"/>
      <c r="BS92" s="1263"/>
      <c r="BT92" s="1263"/>
      <c r="BU92" s="1263"/>
      <c r="BV92" s="1263"/>
      <c r="BW92" s="1263"/>
      <c r="BX92" s="1263"/>
      <c r="BY92" s="1263"/>
      <c r="BZ92" s="1263"/>
      <c r="CA92" s="1263"/>
      <c r="CB92" s="1263"/>
      <c r="CC92" s="1263"/>
      <c r="CD92" s="1263"/>
      <c r="CE92" s="1263"/>
      <c r="CF92" s="1263"/>
      <c r="CG92" s="1263"/>
      <c r="CH92" s="1263"/>
      <c r="CI92" s="1263"/>
      <c r="CJ92" s="1263"/>
      <c r="CK92" s="1263"/>
      <c r="CL92" s="1263"/>
    </row>
    <row r="93" spans="1:90">
      <c r="A93" s="1264">
        <f t="shared" si="1"/>
        <v>92</v>
      </c>
      <c r="B93" s="1271" t="s">
        <v>494</v>
      </c>
      <c r="C93" s="1263" t="s">
        <v>412</v>
      </c>
      <c r="D93" s="1263" t="s">
        <v>413</v>
      </c>
      <c r="E93" s="1266">
        <v>126.4</v>
      </c>
      <c r="F93" s="1266">
        <v>136.43</v>
      </c>
      <c r="G93" s="1266">
        <v>9177</v>
      </c>
      <c r="H93" s="1266">
        <v>4895</v>
      </c>
      <c r="I93" s="1266"/>
      <c r="J93" s="1266">
        <v>5.7539999999999996</v>
      </c>
      <c r="K93" s="1266">
        <v>4353</v>
      </c>
      <c r="L93" s="1267">
        <v>100</v>
      </c>
      <c r="M93" s="1266">
        <v>21.2</v>
      </c>
      <c r="N93" s="1263" t="s">
        <v>495</v>
      </c>
      <c r="O93" s="1263" t="s">
        <v>225</v>
      </c>
      <c r="P93" s="1263" t="s">
        <v>496</v>
      </c>
      <c r="Q93" s="1268">
        <v>12717.781999999999</v>
      </c>
      <c r="R93" s="1268">
        <v>1.2729999999999999</v>
      </c>
      <c r="S93" s="1272">
        <v>44770</v>
      </c>
      <c r="T93" s="1272">
        <v>44772</v>
      </c>
      <c r="U93" s="1270">
        <v>120</v>
      </c>
      <c r="V93" s="1273" t="s">
        <v>5</v>
      </c>
      <c r="W93" s="1270">
        <v>540</v>
      </c>
      <c r="X93" s="1263" t="s">
        <v>226</v>
      </c>
      <c r="Y93" s="1270">
        <v>70</v>
      </c>
      <c r="Z93" s="1263" t="s">
        <v>5</v>
      </c>
      <c r="AA93" s="1270">
        <v>854</v>
      </c>
      <c r="AB93" s="1270">
        <v>854</v>
      </c>
      <c r="AC93" s="1270">
        <v>823</v>
      </c>
      <c r="AD93" s="1270">
        <v>823</v>
      </c>
      <c r="AE93" s="1270">
        <v>832</v>
      </c>
      <c r="AF93" s="1270">
        <v>834</v>
      </c>
      <c r="AG93" s="1270">
        <v>290</v>
      </c>
      <c r="AH93" s="1270">
        <v>290</v>
      </c>
      <c r="AI93" s="1270">
        <v>538</v>
      </c>
      <c r="AJ93" s="1270">
        <v>538</v>
      </c>
      <c r="AK93" s="1270">
        <v>428</v>
      </c>
      <c r="AL93" s="1270">
        <v>428</v>
      </c>
      <c r="AM93" s="1270"/>
      <c r="AN93" s="1263"/>
      <c r="AO93" s="1263"/>
      <c r="AP93" s="1263" t="str">
        <f ca="1"/>
        <v>ASALY</v>
      </c>
      <c r="AQ93" s="1263"/>
      <c r="AR93" s="1263"/>
      <c r="AS93" s="1263"/>
      <c r="AT93" s="1263"/>
      <c r="AU93" s="1263"/>
      <c r="AV93" s="1263"/>
      <c r="AW93" s="1263"/>
      <c r="AX93" s="1263"/>
      <c r="AY93" s="1263"/>
      <c r="AZ93" s="1263"/>
      <c r="BA93" s="1263"/>
      <c r="BB93" s="1263"/>
      <c r="BC93" s="1263"/>
      <c r="BD93" s="1263"/>
      <c r="BE93" s="1263"/>
      <c r="BF93" s="1263"/>
      <c r="BG93" s="1263"/>
      <c r="BH93" s="1263"/>
      <c r="BI93" s="1263"/>
      <c r="BJ93" s="1263"/>
      <c r="BK93" s="1263"/>
      <c r="BL93" s="1263"/>
      <c r="BM93" s="1263"/>
      <c r="BN93" s="1263"/>
      <c r="BO93" s="1263"/>
      <c r="BP93" s="1263"/>
      <c r="BQ93" s="1263"/>
      <c r="BR93" s="1263"/>
      <c r="BS93" s="1263"/>
      <c r="BT93" s="1263"/>
      <c r="BU93" s="1263"/>
      <c r="BV93" s="1263"/>
      <c r="BW93" s="1263"/>
      <c r="BX93" s="1263"/>
      <c r="BY93" s="1263"/>
      <c r="BZ93" s="1263"/>
      <c r="CA93" s="1263"/>
      <c r="CB93" s="1263"/>
      <c r="CC93" s="1263"/>
      <c r="CD93" s="1263"/>
      <c r="CE93" s="1263"/>
      <c r="CF93" s="1263"/>
      <c r="CG93" s="1263"/>
      <c r="CH93" s="1263"/>
      <c r="CI93" s="1263"/>
      <c r="CJ93" s="1263"/>
      <c r="CK93" s="1263"/>
      <c r="CL93" s="1263"/>
    </row>
    <row r="94" spans="1:90">
      <c r="A94" s="1264">
        <f t="shared" si="1"/>
        <v>93</v>
      </c>
      <c r="B94" s="1271" t="s">
        <v>497</v>
      </c>
      <c r="C94" s="1263" t="s">
        <v>483</v>
      </c>
      <c r="D94" s="1263" t="s">
        <v>484</v>
      </c>
      <c r="E94" s="1266">
        <v>160.4</v>
      </c>
      <c r="F94" s="1266">
        <v>169.37</v>
      </c>
      <c r="G94" s="1266">
        <v>17025</v>
      </c>
      <c r="H94" s="1266">
        <v>10108</v>
      </c>
      <c r="I94" s="1266">
        <v>28509</v>
      </c>
      <c r="J94" s="1266">
        <v>9.8190000000000008</v>
      </c>
      <c r="K94" s="1266">
        <v>6244</v>
      </c>
      <c r="L94" s="1267">
        <v>120</v>
      </c>
      <c r="M94" s="1266">
        <v>27.2</v>
      </c>
      <c r="N94" s="1263" t="s">
        <v>498</v>
      </c>
      <c r="O94" s="1263" t="s">
        <v>225</v>
      </c>
      <c r="P94" s="1263" t="s">
        <v>496</v>
      </c>
      <c r="Q94" s="1268">
        <v>26973</v>
      </c>
      <c r="R94" s="1268">
        <v>4.5330000000000004</v>
      </c>
      <c r="S94" s="1272">
        <v>44477</v>
      </c>
      <c r="T94" s="1272">
        <v>44482</v>
      </c>
      <c r="U94" s="1270">
        <v>150</v>
      </c>
      <c r="V94" s="1273" t="s">
        <v>5</v>
      </c>
      <c r="W94" s="1270">
        <v>730</v>
      </c>
      <c r="X94" s="1263" t="s">
        <v>226</v>
      </c>
      <c r="Y94" s="1270">
        <v>0</v>
      </c>
      <c r="Z94" s="1263" t="s">
        <v>306</v>
      </c>
      <c r="AA94" s="1270">
        <v>952</v>
      </c>
      <c r="AB94" s="1270">
        <v>957</v>
      </c>
      <c r="AC94" s="1270">
        <v>975</v>
      </c>
      <c r="AD94" s="1270">
        <v>964</v>
      </c>
      <c r="AE94" s="1270">
        <v>952</v>
      </c>
      <c r="AF94" s="1270">
        <v>977</v>
      </c>
      <c r="AG94" s="1270">
        <v>372</v>
      </c>
      <c r="AH94" s="1270">
        <v>366</v>
      </c>
      <c r="AI94" s="1270">
        <v>502</v>
      </c>
      <c r="AJ94" s="1270">
        <v>501</v>
      </c>
      <c r="AK94" s="1270">
        <v>442</v>
      </c>
      <c r="AL94" s="1270">
        <v>416</v>
      </c>
      <c r="AM94" s="1270"/>
      <c r="AN94" s="1263"/>
      <c r="AO94" s="1263"/>
      <c r="AP94" s="1263" t="str">
        <f ca="1"/>
        <v>SIDER BILBAO</v>
      </c>
      <c r="AQ94" s="1263"/>
      <c r="AR94" s="1263"/>
      <c r="AS94" s="1263"/>
      <c r="AT94" s="1263"/>
      <c r="AU94" s="1263"/>
      <c r="AV94" s="1263"/>
      <c r="AW94" s="1263"/>
      <c r="AX94" s="1263"/>
      <c r="AY94" s="1263"/>
      <c r="AZ94" s="1263"/>
      <c r="BA94" s="1263"/>
      <c r="BB94" s="1263"/>
      <c r="BC94" s="1263"/>
      <c r="BD94" s="1263"/>
      <c r="BE94" s="1263"/>
      <c r="BF94" s="1263"/>
      <c r="BG94" s="1263"/>
      <c r="BH94" s="1263"/>
      <c r="BI94" s="1263"/>
      <c r="BJ94" s="1263"/>
      <c r="BK94" s="1263"/>
      <c r="BL94" s="1263"/>
      <c r="BM94" s="1263"/>
      <c r="BN94" s="1263"/>
      <c r="BO94" s="1263"/>
      <c r="BP94" s="1263"/>
      <c r="BQ94" s="1263"/>
      <c r="BR94" s="1263"/>
      <c r="BS94" s="1263"/>
      <c r="BT94" s="1263"/>
      <c r="BU94" s="1263"/>
      <c r="BV94" s="1263"/>
      <c r="BW94" s="1263"/>
      <c r="BX94" s="1263"/>
      <c r="BY94" s="1263"/>
      <c r="BZ94" s="1263"/>
      <c r="CA94" s="1263"/>
      <c r="CB94" s="1263"/>
      <c r="CC94" s="1263"/>
      <c r="CD94" s="1263"/>
      <c r="CE94" s="1263"/>
      <c r="CF94" s="1263"/>
      <c r="CG94" s="1263"/>
      <c r="CH94" s="1263"/>
      <c r="CI94" s="1263"/>
      <c r="CJ94" s="1263"/>
      <c r="CK94" s="1263"/>
      <c r="CL94" s="1263"/>
    </row>
    <row r="95" spans="1:90">
      <c r="A95" s="1264">
        <f t="shared" si="1"/>
        <v>94</v>
      </c>
      <c r="B95" s="1271" t="s">
        <v>499</v>
      </c>
      <c r="C95" s="1263" t="s">
        <v>400</v>
      </c>
      <c r="D95" s="1263" t="s">
        <v>401</v>
      </c>
      <c r="E95" s="1266">
        <v>176.75</v>
      </c>
      <c r="F95" s="1266">
        <v>180</v>
      </c>
      <c r="G95" s="1266">
        <v>15629</v>
      </c>
      <c r="H95" s="1266">
        <v>12125</v>
      </c>
      <c r="I95" s="1266">
        <v>35732</v>
      </c>
      <c r="J95" s="1266">
        <v>10.32</v>
      </c>
      <c r="K95" s="1266">
        <v>10396</v>
      </c>
      <c r="L95" s="1267">
        <v>353</v>
      </c>
      <c r="M95" s="1266">
        <v>29.986000000000001</v>
      </c>
      <c r="N95" s="1263" t="s">
        <v>498</v>
      </c>
      <c r="O95" s="1263" t="s">
        <v>225</v>
      </c>
      <c r="P95" s="1263" t="s">
        <v>496</v>
      </c>
      <c r="Q95" s="1268">
        <v>32600</v>
      </c>
      <c r="R95" s="1268">
        <v>2.4119999999999999</v>
      </c>
      <c r="S95" s="1272">
        <v>44761</v>
      </c>
      <c r="T95" s="1272">
        <v>44766</v>
      </c>
      <c r="U95" s="1270">
        <v>315</v>
      </c>
      <c r="V95" s="1273" t="s">
        <v>5</v>
      </c>
      <c r="W95" s="1270">
        <v>50</v>
      </c>
      <c r="X95" s="1263" t="s">
        <v>5</v>
      </c>
      <c r="Y95" s="1270">
        <v>0</v>
      </c>
      <c r="Z95" s="1263" t="s">
        <v>306</v>
      </c>
      <c r="AA95" s="1270">
        <v>992</v>
      </c>
      <c r="AB95" s="1270">
        <v>992</v>
      </c>
      <c r="AC95" s="1270">
        <v>1000</v>
      </c>
      <c r="AD95" s="1270">
        <v>1001</v>
      </c>
      <c r="AE95" s="1270">
        <v>999</v>
      </c>
      <c r="AF95" s="1270">
        <v>997</v>
      </c>
      <c r="AG95" s="1270">
        <v>321</v>
      </c>
      <c r="AH95" s="1270">
        <v>320</v>
      </c>
      <c r="AI95" s="1270">
        <v>365</v>
      </c>
      <c r="AJ95" s="1270">
        <v>366</v>
      </c>
      <c r="AK95" s="1270">
        <v>333</v>
      </c>
      <c r="AL95" s="1270">
        <v>333</v>
      </c>
      <c r="AM95" s="1270"/>
      <c r="AN95" s="1263"/>
      <c r="AO95" s="1263"/>
      <c r="AP95" s="1263" t="str">
        <f ca="1"/>
        <v>AROMA 2</v>
      </c>
      <c r="AQ95" s="1263"/>
      <c r="AR95" s="1263"/>
      <c r="AS95" s="1263"/>
      <c r="AT95" s="1263"/>
      <c r="AU95" s="1263"/>
      <c r="AV95" s="1263"/>
      <c r="AW95" s="1263"/>
      <c r="AX95" s="1263"/>
      <c r="AY95" s="1263"/>
      <c r="AZ95" s="1263"/>
      <c r="BA95" s="1263"/>
      <c r="BB95" s="1263"/>
      <c r="BC95" s="1263"/>
      <c r="BD95" s="1263"/>
      <c r="BE95" s="1263"/>
      <c r="BF95" s="1263"/>
      <c r="BG95" s="1263"/>
      <c r="BH95" s="1263"/>
      <c r="BI95" s="1263"/>
      <c r="BJ95" s="1263"/>
      <c r="BK95" s="1263"/>
      <c r="BL95" s="1263"/>
      <c r="BM95" s="1263"/>
      <c r="BN95" s="1263"/>
      <c r="BO95" s="1263"/>
      <c r="BP95" s="1263"/>
      <c r="BQ95" s="1263"/>
      <c r="BR95" s="1263"/>
      <c r="BS95" s="1263"/>
      <c r="BT95" s="1263"/>
      <c r="BU95" s="1263"/>
      <c r="BV95" s="1263"/>
      <c r="BW95" s="1263"/>
      <c r="BX95" s="1263"/>
      <c r="BY95" s="1263"/>
      <c r="BZ95" s="1263"/>
      <c r="CA95" s="1263"/>
      <c r="CB95" s="1263"/>
      <c r="CC95" s="1263"/>
      <c r="CD95" s="1263"/>
      <c r="CE95" s="1263"/>
      <c r="CF95" s="1263"/>
      <c r="CG95" s="1263"/>
      <c r="CH95" s="1263"/>
      <c r="CI95" s="1263"/>
      <c r="CJ95" s="1263"/>
      <c r="CK95" s="1263"/>
      <c r="CL95" s="1263"/>
    </row>
    <row r="96" spans="1:90">
      <c r="A96" s="1264">
        <f t="shared" si="1"/>
        <v>95</v>
      </c>
      <c r="B96" s="1271" t="s">
        <v>500</v>
      </c>
      <c r="C96" s="1263" t="s">
        <v>382</v>
      </c>
      <c r="D96" s="1263" t="s">
        <v>383</v>
      </c>
      <c r="E96" s="1266">
        <v>160.4</v>
      </c>
      <c r="F96" s="1266">
        <v>169.37</v>
      </c>
      <c r="G96" s="1266">
        <v>27025</v>
      </c>
      <c r="H96" s="1266">
        <v>10108</v>
      </c>
      <c r="I96" s="1266">
        <v>27703</v>
      </c>
      <c r="J96" s="1266">
        <v>9.8190000000000008</v>
      </c>
      <c r="K96" s="1266">
        <v>6244</v>
      </c>
      <c r="L96" s="1267">
        <v>150</v>
      </c>
      <c r="M96" s="1266">
        <v>27.2</v>
      </c>
      <c r="N96" s="1263" t="s">
        <v>498</v>
      </c>
      <c r="O96" s="1263" t="s">
        <v>225</v>
      </c>
      <c r="P96" s="1263" t="s">
        <v>496</v>
      </c>
      <c r="Q96" s="1268">
        <v>27757</v>
      </c>
      <c r="R96" s="1268">
        <v>3.8250000000000002</v>
      </c>
      <c r="S96" s="1272">
        <v>44660</v>
      </c>
      <c r="T96" s="1272">
        <v>44669</v>
      </c>
      <c r="U96" s="1270">
        <v>150</v>
      </c>
      <c r="V96" s="1273" t="s">
        <v>5</v>
      </c>
      <c r="W96" s="1270">
        <v>730</v>
      </c>
      <c r="X96" s="1263" t="s">
        <v>226</v>
      </c>
      <c r="Y96" s="1270">
        <v>0</v>
      </c>
      <c r="Z96" s="1263" t="s">
        <v>306</v>
      </c>
      <c r="AA96" s="1270">
        <v>969</v>
      </c>
      <c r="AB96" s="1270">
        <v>969</v>
      </c>
      <c r="AC96" s="1270">
        <v>993</v>
      </c>
      <c r="AD96" s="1270">
        <v>993</v>
      </c>
      <c r="AE96" s="1270">
        <v>984</v>
      </c>
      <c r="AF96" s="1270">
        <v>982</v>
      </c>
      <c r="AG96" s="1270">
        <v>332</v>
      </c>
      <c r="AH96" s="1270">
        <v>332</v>
      </c>
      <c r="AI96" s="1270">
        <v>563</v>
      </c>
      <c r="AJ96" s="1270">
        <v>563</v>
      </c>
      <c r="AK96" s="1270">
        <v>440</v>
      </c>
      <c r="AL96" s="1270">
        <v>440</v>
      </c>
      <c r="AM96" s="1270"/>
      <c r="AN96" s="1263"/>
      <c r="AO96" s="1263"/>
      <c r="AP96" s="1263" t="str">
        <f ca="1"/>
        <v>CABRERA</v>
      </c>
      <c r="AQ96" s="1263"/>
      <c r="AR96" s="1263"/>
      <c r="AS96" s="1263"/>
      <c r="AT96" s="1263"/>
      <c r="AU96" s="1263"/>
      <c r="AV96" s="1263"/>
      <c r="AW96" s="1263"/>
      <c r="AX96" s="1263"/>
      <c r="AY96" s="1263"/>
      <c r="AZ96" s="1263"/>
      <c r="BA96" s="1263"/>
      <c r="BB96" s="1263"/>
      <c r="BC96" s="1263"/>
      <c r="BD96" s="1263"/>
      <c r="BE96" s="1263"/>
      <c r="BF96" s="1263"/>
      <c r="BG96" s="1263"/>
      <c r="BH96" s="1263"/>
      <c r="BI96" s="1263"/>
      <c r="BJ96" s="1263"/>
      <c r="BK96" s="1263"/>
      <c r="BL96" s="1263"/>
      <c r="BM96" s="1263"/>
      <c r="BN96" s="1263"/>
      <c r="BO96" s="1263"/>
      <c r="BP96" s="1263"/>
      <c r="BQ96" s="1263"/>
      <c r="BR96" s="1263"/>
      <c r="BS96" s="1263"/>
      <c r="BT96" s="1263"/>
      <c r="BU96" s="1263"/>
      <c r="BV96" s="1263"/>
      <c r="BW96" s="1263"/>
      <c r="BX96" s="1263"/>
      <c r="BY96" s="1263"/>
      <c r="BZ96" s="1263"/>
      <c r="CA96" s="1263"/>
      <c r="CB96" s="1263"/>
      <c r="CC96" s="1263"/>
      <c r="CD96" s="1263"/>
      <c r="CE96" s="1263"/>
      <c r="CF96" s="1263"/>
      <c r="CG96" s="1263"/>
      <c r="CH96" s="1263"/>
      <c r="CI96" s="1263"/>
      <c r="CJ96" s="1263"/>
      <c r="CK96" s="1263"/>
      <c r="CL96" s="1263"/>
    </row>
    <row r="97" spans="1:90">
      <c r="A97" s="1264">
        <f t="shared" si="1"/>
        <v>96</v>
      </c>
      <c r="B97" s="1271" t="s">
        <v>501</v>
      </c>
      <c r="C97" s="1263" t="s">
        <v>483</v>
      </c>
      <c r="D97" s="1263" t="s">
        <v>484</v>
      </c>
      <c r="E97" s="1266">
        <v>170</v>
      </c>
      <c r="F97" s="1266">
        <v>178.7</v>
      </c>
      <c r="G97" s="1266">
        <v>20398.45</v>
      </c>
      <c r="H97" s="1266">
        <v>18329.7</v>
      </c>
      <c r="I97" s="1266">
        <v>30449.51</v>
      </c>
      <c r="J97" s="1266">
        <v>9.8789999999999996</v>
      </c>
      <c r="K97" s="1266">
        <v>8354.24</v>
      </c>
      <c r="L97" s="1267">
        <v>340</v>
      </c>
      <c r="M97" s="1266">
        <v>28</v>
      </c>
      <c r="N97" s="1263" t="s">
        <v>498</v>
      </c>
      <c r="O97" s="1263" t="s">
        <v>225</v>
      </c>
      <c r="P97" s="1263" t="s">
        <v>496</v>
      </c>
      <c r="Q97" s="1268">
        <v>29496</v>
      </c>
      <c r="R97" s="1268">
        <v>4.173</v>
      </c>
      <c r="S97" s="1272">
        <v>44383</v>
      </c>
      <c r="T97" s="1272">
        <v>44390</v>
      </c>
      <c r="U97" s="1270">
        <v>160</v>
      </c>
      <c r="V97" s="1273" t="s">
        <v>5</v>
      </c>
      <c r="W97" s="1270">
        <v>880</v>
      </c>
      <c r="X97" s="1263" t="s">
        <v>226</v>
      </c>
      <c r="Y97" s="1270">
        <v>20</v>
      </c>
      <c r="Z97" s="1263" t="s">
        <v>5</v>
      </c>
      <c r="AA97" s="1270">
        <v>1000</v>
      </c>
      <c r="AB97" s="1270">
        <v>998</v>
      </c>
      <c r="AC97" s="1270">
        <v>980</v>
      </c>
      <c r="AD97" s="1270">
        <v>987</v>
      </c>
      <c r="AE97" s="1270">
        <v>999</v>
      </c>
      <c r="AF97" s="1270">
        <v>972</v>
      </c>
      <c r="AG97" s="1270">
        <v>361</v>
      </c>
      <c r="AH97" s="1270">
        <v>361</v>
      </c>
      <c r="AI97" s="1270">
        <v>650</v>
      </c>
      <c r="AJ97" s="1270">
        <v>650</v>
      </c>
      <c r="AK97" s="1270">
        <v>504</v>
      </c>
      <c r="AL97" s="1270">
        <v>504</v>
      </c>
      <c r="AM97" s="1270"/>
      <c r="AN97" s="1263"/>
      <c r="AO97" s="1263"/>
      <c r="AP97" s="1263" t="str">
        <f ca="1"/>
        <v>ITALIDA</v>
      </c>
      <c r="AQ97" s="1263"/>
      <c r="AR97" s="1263"/>
      <c r="AS97" s="1263"/>
      <c r="AT97" s="1263"/>
      <c r="AU97" s="1263"/>
      <c r="AV97" s="1263"/>
      <c r="AW97" s="1263"/>
      <c r="AX97" s="1263"/>
      <c r="AY97" s="1263"/>
      <c r="AZ97" s="1263"/>
      <c r="BA97" s="1263"/>
      <c r="BB97" s="1263"/>
      <c r="BC97" s="1263"/>
      <c r="BD97" s="1263"/>
      <c r="BE97" s="1263"/>
      <c r="BF97" s="1263"/>
      <c r="BG97" s="1263"/>
      <c r="BH97" s="1263"/>
      <c r="BI97" s="1263"/>
      <c r="BJ97" s="1263"/>
      <c r="BK97" s="1263"/>
      <c r="BL97" s="1263"/>
      <c r="BM97" s="1263"/>
      <c r="BN97" s="1263"/>
      <c r="BO97" s="1263"/>
      <c r="BP97" s="1263"/>
      <c r="BQ97" s="1263"/>
      <c r="BR97" s="1263"/>
      <c r="BS97" s="1263"/>
      <c r="BT97" s="1263"/>
      <c r="BU97" s="1263"/>
      <c r="BV97" s="1263"/>
      <c r="BW97" s="1263"/>
      <c r="BX97" s="1263"/>
      <c r="BY97" s="1263"/>
      <c r="BZ97" s="1263"/>
      <c r="CA97" s="1263"/>
      <c r="CB97" s="1263"/>
      <c r="CC97" s="1263"/>
      <c r="CD97" s="1263"/>
      <c r="CE97" s="1263"/>
      <c r="CF97" s="1263"/>
      <c r="CG97" s="1263"/>
      <c r="CH97" s="1263"/>
      <c r="CI97" s="1263"/>
      <c r="CJ97" s="1263"/>
      <c r="CK97" s="1263"/>
      <c r="CL97" s="1263"/>
    </row>
    <row r="98" spans="1:90">
      <c r="A98" s="1264">
        <f t="shared" si="1"/>
        <v>97</v>
      </c>
      <c r="B98" s="1271" t="s">
        <v>502</v>
      </c>
      <c r="C98" s="1263" t="s">
        <v>483</v>
      </c>
      <c r="D98" s="1263" t="s">
        <v>484</v>
      </c>
      <c r="E98" s="1266">
        <v>170</v>
      </c>
      <c r="F98" s="1266">
        <v>178.7</v>
      </c>
      <c r="G98" s="1266">
        <v>19972</v>
      </c>
      <c r="H98" s="1266">
        <v>10530</v>
      </c>
      <c r="I98" s="1266">
        <v>30800.82</v>
      </c>
      <c r="J98" s="1266">
        <v>9.8780000000000001</v>
      </c>
      <c r="K98" s="1266">
        <v>8026.62</v>
      </c>
      <c r="L98" s="1267">
        <v>207</v>
      </c>
      <c r="M98" s="1266">
        <v>28</v>
      </c>
      <c r="N98" s="1263" t="s">
        <v>498</v>
      </c>
      <c r="O98" s="1263" t="s">
        <v>225</v>
      </c>
      <c r="P98" s="1263" t="s">
        <v>496</v>
      </c>
      <c r="Q98" s="1268">
        <v>9101</v>
      </c>
      <c r="R98" s="1268">
        <v>4.1719999999999997</v>
      </c>
      <c r="S98" s="1272">
        <v>44284</v>
      </c>
      <c r="T98" s="1272">
        <v>44286</v>
      </c>
      <c r="U98" s="1270">
        <v>160</v>
      </c>
      <c r="V98" s="1273" t="s">
        <v>5</v>
      </c>
      <c r="W98" s="1270">
        <v>880</v>
      </c>
      <c r="X98" s="1263" t="s">
        <v>226</v>
      </c>
      <c r="Y98" s="1270">
        <v>60</v>
      </c>
      <c r="Z98" s="1263" t="s">
        <v>5</v>
      </c>
      <c r="AA98" s="1270">
        <v>972</v>
      </c>
      <c r="AB98" s="1270">
        <v>972</v>
      </c>
      <c r="AC98" s="1270">
        <v>975</v>
      </c>
      <c r="AD98" s="1270">
        <v>975</v>
      </c>
      <c r="AE98" s="1270">
        <v>975</v>
      </c>
      <c r="AF98" s="1270">
        <v>975</v>
      </c>
      <c r="AG98" s="1270">
        <v>873</v>
      </c>
      <c r="AH98" s="1270">
        <v>874</v>
      </c>
      <c r="AI98" s="1270">
        <v>940</v>
      </c>
      <c r="AJ98" s="1270">
        <v>940</v>
      </c>
      <c r="AK98" s="1270">
        <v>903</v>
      </c>
      <c r="AL98" s="1270">
        <v>906</v>
      </c>
      <c r="AM98" s="1270"/>
      <c r="AN98" s="1263"/>
      <c r="AO98" s="1263"/>
      <c r="AP98" s="1263" t="str">
        <f ca="1"/>
        <v>LADY DEMET</v>
      </c>
      <c r="AQ98" s="1263"/>
      <c r="AR98" s="1263"/>
      <c r="AS98" s="1263"/>
      <c r="AT98" s="1263"/>
      <c r="AU98" s="1263"/>
      <c r="AV98" s="1263"/>
      <c r="AW98" s="1263"/>
      <c r="AX98" s="1263"/>
      <c r="AY98" s="1263"/>
      <c r="AZ98" s="1263"/>
      <c r="BA98" s="1263"/>
      <c r="BB98" s="1263"/>
      <c r="BC98" s="1263"/>
      <c r="BD98" s="1263"/>
      <c r="BE98" s="1263"/>
      <c r="BF98" s="1263"/>
      <c r="BG98" s="1263"/>
      <c r="BH98" s="1263"/>
      <c r="BI98" s="1263"/>
      <c r="BJ98" s="1263"/>
      <c r="BK98" s="1263"/>
      <c r="BL98" s="1263"/>
      <c r="BM98" s="1263"/>
      <c r="BN98" s="1263"/>
      <c r="BO98" s="1263"/>
      <c r="BP98" s="1263"/>
      <c r="BQ98" s="1263"/>
      <c r="BR98" s="1263"/>
      <c r="BS98" s="1263"/>
      <c r="BT98" s="1263"/>
      <c r="BU98" s="1263"/>
      <c r="BV98" s="1263"/>
      <c r="BW98" s="1263"/>
      <c r="BX98" s="1263"/>
      <c r="BY98" s="1263"/>
      <c r="BZ98" s="1263"/>
      <c r="CA98" s="1263"/>
      <c r="CB98" s="1263"/>
      <c r="CC98" s="1263"/>
      <c r="CD98" s="1263"/>
      <c r="CE98" s="1263"/>
      <c r="CF98" s="1263"/>
      <c r="CG98" s="1263"/>
      <c r="CH98" s="1263"/>
      <c r="CI98" s="1263"/>
      <c r="CJ98" s="1263"/>
      <c r="CK98" s="1263"/>
      <c r="CL98" s="1263"/>
    </row>
    <row r="99" spans="1:90">
      <c r="A99" s="1264">
        <f t="shared" si="1"/>
        <v>98</v>
      </c>
      <c r="B99" s="1271" t="s">
        <v>503</v>
      </c>
      <c r="C99" s="1263" t="s">
        <v>412</v>
      </c>
      <c r="D99" s="1263" t="s">
        <v>413</v>
      </c>
      <c r="E99" s="1266">
        <v>103.9</v>
      </c>
      <c r="F99" s="1266">
        <v>108.2</v>
      </c>
      <c r="G99" s="1266">
        <v>5630</v>
      </c>
      <c r="H99" s="1266">
        <v>2883</v>
      </c>
      <c r="I99" s="1266">
        <v>8265.4599999999991</v>
      </c>
      <c r="J99" s="1266">
        <v>7.27</v>
      </c>
      <c r="K99" s="1266">
        <v>3180</v>
      </c>
      <c r="L99" s="1267">
        <v>65</v>
      </c>
      <c r="M99" s="1266">
        <v>18.2</v>
      </c>
      <c r="N99" s="1263" t="s">
        <v>504</v>
      </c>
      <c r="O99" s="1263" t="s">
        <v>225</v>
      </c>
      <c r="P99" s="1263" t="s">
        <v>505</v>
      </c>
      <c r="Q99" s="1268">
        <v>7045.1570000000002</v>
      </c>
      <c r="R99" s="1268">
        <v>1.7450000000000001</v>
      </c>
      <c r="S99" s="1272">
        <v>44236</v>
      </c>
      <c r="T99" s="1272">
        <v>44239</v>
      </c>
      <c r="U99" s="1270">
        <v>160</v>
      </c>
      <c r="V99" s="1273" t="s">
        <v>5</v>
      </c>
      <c r="W99" s="1270">
        <v>0</v>
      </c>
      <c r="X99" s="1263" t="s">
        <v>414</v>
      </c>
      <c r="Y99" s="1270">
        <v>165</v>
      </c>
      <c r="Z99" s="1263" t="s">
        <v>5</v>
      </c>
      <c r="AA99" s="1270">
        <v>638</v>
      </c>
      <c r="AB99" s="1270">
        <v>645</v>
      </c>
      <c r="AC99" s="1270">
        <v>704</v>
      </c>
      <c r="AD99" s="1270">
        <v>719</v>
      </c>
      <c r="AE99" s="1270">
        <v>659</v>
      </c>
      <c r="AF99" s="1270">
        <v>699</v>
      </c>
      <c r="AG99" s="1270">
        <v>300</v>
      </c>
      <c r="AH99" s="1270">
        <v>300</v>
      </c>
      <c r="AI99" s="1270">
        <v>455</v>
      </c>
      <c r="AJ99" s="1270">
        <v>455</v>
      </c>
      <c r="AK99" s="1270">
        <v>393</v>
      </c>
      <c r="AL99" s="1270">
        <v>370</v>
      </c>
      <c r="AM99" s="1270"/>
      <c r="AN99" s="1263"/>
      <c r="AO99" s="1263"/>
      <c r="AP99" s="1263" t="str">
        <f ca="1"/>
        <v>LOUISA BOLTON</v>
      </c>
      <c r="AQ99" s="1263"/>
      <c r="AR99" s="1263"/>
      <c r="AS99" s="1263"/>
      <c r="AT99" s="1263"/>
      <c r="AU99" s="1263"/>
      <c r="AV99" s="1263"/>
      <c r="AW99" s="1263"/>
      <c r="AX99" s="1263"/>
      <c r="AY99" s="1263"/>
      <c r="AZ99" s="1263"/>
      <c r="BA99" s="1263"/>
      <c r="BB99" s="1263"/>
      <c r="BC99" s="1263"/>
      <c r="BD99" s="1263"/>
      <c r="BE99" s="1263"/>
      <c r="BF99" s="1263"/>
      <c r="BG99" s="1263"/>
      <c r="BH99" s="1263"/>
      <c r="BI99" s="1263"/>
      <c r="BJ99" s="1263"/>
      <c r="BK99" s="1263"/>
      <c r="BL99" s="1263"/>
      <c r="BM99" s="1263"/>
      <c r="BN99" s="1263"/>
      <c r="BO99" s="1263"/>
      <c r="BP99" s="1263"/>
      <c r="BQ99" s="1263"/>
      <c r="BR99" s="1263"/>
      <c r="BS99" s="1263"/>
      <c r="BT99" s="1263"/>
      <c r="BU99" s="1263"/>
      <c r="BV99" s="1263"/>
      <c r="BW99" s="1263"/>
      <c r="BX99" s="1263"/>
      <c r="BY99" s="1263"/>
      <c r="BZ99" s="1263"/>
      <c r="CA99" s="1263"/>
      <c r="CB99" s="1263"/>
      <c r="CC99" s="1263"/>
      <c r="CD99" s="1263"/>
      <c r="CE99" s="1263"/>
      <c r="CF99" s="1263"/>
      <c r="CG99" s="1263"/>
      <c r="CH99" s="1263"/>
      <c r="CI99" s="1263"/>
      <c r="CJ99" s="1263"/>
      <c r="CK99" s="1263"/>
      <c r="CL99" s="1263"/>
    </row>
    <row r="100" spans="1:90">
      <c r="A100" s="1264">
        <f t="shared" si="1"/>
        <v>99</v>
      </c>
      <c r="B100" s="1271" t="s">
        <v>506</v>
      </c>
      <c r="C100" s="1263" t="s">
        <v>412</v>
      </c>
      <c r="D100" s="1263" t="s">
        <v>413</v>
      </c>
      <c r="E100" s="1266">
        <v>103.9</v>
      </c>
      <c r="F100" s="1266">
        <v>108.2</v>
      </c>
      <c r="G100" s="1266">
        <v>5604</v>
      </c>
      <c r="H100" s="1266">
        <v>2877</v>
      </c>
      <c r="I100" s="1266">
        <v>8098.89</v>
      </c>
      <c r="J100" s="1266">
        <v>6.99</v>
      </c>
      <c r="K100" s="1266">
        <v>2853.9</v>
      </c>
      <c r="L100" s="1267">
        <v>110</v>
      </c>
      <c r="M100" s="1266">
        <v>18.2</v>
      </c>
      <c r="N100" s="1263" t="s">
        <v>301</v>
      </c>
      <c r="O100" s="1263" t="s">
        <v>225</v>
      </c>
      <c r="P100" s="1263" t="s">
        <v>496</v>
      </c>
      <c r="Q100" s="1268">
        <v>7692.4620000000004</v>
      </c>
      <c r="R100" s="1268">
        <v>2.0230000000000001</v>
      </c>
      <c r="S100" s="1272">
        <v>44718</v>
      </c>
      <c r="T100" s="1272">
        <v>44719</v>
      </c>
      <c r="U100" s="1270">
        <v>160</v>
      </c>
      <c r="V100" s="1273" t="s">
        <v>5</v>
      </c>
      <c r="W100" s="1270">
        <v>200</v>
      </c>
      <c r="X100" s="1263" t="s">
        <v>5</v>
      </c>
      <c r="Y100" s="1270">
        <v>165</v>
      </c>
      <c r="Z100" s="1263" t="s">
        <v>5</v>
      </c>
      <c r="AA100" s="1270">
        <v>663</v>
      </c>
      <c r="AB100" s="1270">
        <v>663</v>
      </c>
      <c r="AC100" s="1270">
        <v>725</v>
      </c>
      <c r="AD100" s="1270">
        <v>725</v>
      </c>
      <c r="AE100" s="1270">
        <v>700</v>
      </c>
      <c r="AF100" s="1270">
        <v>694</v>
      </c>
      <c r="AG100" s="1270">
        <v>250</v>
      </c>
      <c r="AH100" s="1270">
        <v>260</v>
      </c>
      <c r="AI100" s="1270">
        <v>430</v>
      </c>
      <c r="AJ100" s="1270">
        <v>430</v>
      </c>
      <c r="AK100" s="1270">
        <v>317</v>
      </c>
      <c r="AL100" s="1270">
        <v>363</v>
      </c>
      <c r="AM100" s="1270"/>
      <c r="AN100" s="1263"/>
      <c r="AO100" s="1263"/>
      <c r="AP100" s="1263" t="str">
        <f ca="1"/>
        <v>MANISA ALENA</v>
      </c>
      <c r="AQ100" s="1263"/>
      <c r="AR100" s="1263"/>
      <c r="AS100" s="1263"/>
      <c r="AT100" s="1263"/>
      <c r="AU100" s="1263"/>
      <c r="AV100" s="1263"/>
      <c r="AW100" s="1263"/>
      <c r="AX100" s="1263"/>
      <c r="AY100" s="1263"/>
      <c r="AZ100" s="1263"/>
      <c r="BA100" s="1263"/>
      <c r="BB100" s="1263"/>
      <c r="BC100" s="1263"/>
      <c r="BD100" s="1263"/>
      <c r="BE100" s="1263"/>
      <c r="BF100" s="1263"/>
      <c r="BG100" s="1263"/>
      <c r="BH100" s="1263"/>
      <c r="BI100" s="1263"/>
      <c r="BJ100" s="1263"/>
      <c r="BK100" s="1263"/>
      <c r="BL100" s="1263"/>
      <c r="BM100" s="1263"/>
      <c r="BN100" s="1263"/>
      <c r="BO100" s="1263"/>
      <c r="BP100" s="1263"/>
      <c r="BQ100" s="1263"/>
      <c r="BR100" s="1263"/>
      <c r="BS100" s="1263"/>
      <c r="BT100" s="1263"/>
      <c r="BU100" s="1263"/>
      <c r="BV100" s="1263"/>
      <c r="BW100" s="1263"/>
      <c r="BX100" s="1263"/>
      <c r="BY100" s="1263"/>
      <c r="BZ100" s="1263"/>
      <c r="CA100" s="1263"/>
      <c r="CB100" s="1263"/>
      <c r="CC100" s="1263"/>
      <c r="CD100" s="1263"/>
      <c r="CE100" s="1263"/>
      <c r="CF100" s="1263"/>
      <c r="CG100" s="1263"/>
      <c r="CH100" s="1263"/>
      <c r="CI100" s="1263"/>
      <c r="CJ100" s="1263"/>
      <c r="CK100" s="1263"/>
      <c r="CL100" s="1263"/>
    </row>
    <row r="101" spans="1:90">
      <c r="A101" s="1264">
        <f t="shared" si="1"/>
        <v>100</v>
      </c>
      <c r="B101" s="1271" t="s">
        <v>507</v>
      </c>
      <c r="C101" s="1263" t="s">
        <v>300</v>
      </c>
      <c r="D101" s="1263" t="s">
        <v>508</v>
      </c>
      <c r="E101" s="1266">
        <v>121.16</v>
      </c>
      <c r="F101" s="1266">
        <v>130.16999999999999</v>
      </c>
      <c r="G101" s="1266">
        <v>6142</v>
      </c>
      <c r="H101" s="1266">
        <v>3491</v>
      </c>
      <c r="I101" s="1266">
        <v>9103</v>
      </c>
      <c r="J101" s="1266">
        <v>7.46</v>
      </c>
      <c r="K101" s="1266">
        <v>2792</v>
      </c>
      <c r="L101" s="1267">
        <v>60</v>
      </c>
      <c r="M101" s="1266">
        <v>15.87</v>
      </c>
      <c r="N101" s="1263" t="s">
        <v>301</v>
      </c>
      <c r="O101" s="1263" t="s">
        <v>225</v>
      </c>
      <c r="P101" s="1263" t="s">
        <v>505</v>
      </c>
      <c r="Q101" s="1268">
        <v>8669.0509999999995</v>
      </c>
      <c r="R101" s="1268">
        <v>1.9</v>
      </c>
      <c r="S101" s="1272">
        <v>44706</v>
      </c>
      <c r="T101" s="1272">
        <v>2022</v>
      </c>
      <c r="U101" s="1270">
        <v>0</v>
      </c>
      <c r="V101" s="1273" t="s">
        <v>306</v>
      </c>
      <c r="W101" s="1270">
        <v>418</v>
      </c>
      <c r="X101" s="1263" t="s">
        <v>5</v>
      </c>
      <c r="Y101" s="1270">
        <v>62.5</v>
      </c>
      <c r="Z101" s="1263" t="s">
        <v>5</v>
      </c>
      <c r="AA101" s="1270">
        <v>739</v>
      </c>
      <c r="AB101" s="1270">
        <v>739</v>
      </c>
      <c r="AC101" s="1270">
        <v>768</v>
      </c>
      <c r="AD101" s="1270">
        <v>768</v>
      </c>
      <c r="AE101" s="1270">
        <v>755</v>
      </c>
      <c r="AF101" s="1270">
        <v>759</v>
      </c>
      <c r="AG101" s="1270">
        <v>324</v>
      </c>
      <c r="AH101" s="1270">
        <v>324</v>
      </c>
      <c r="AI101" s="1270">
        <v>455</v>
      </c>
      <c r="AJ101" s="1270">
        <v>455</v>
      </c>
      <c r="AK101" s="1270">
        <v>390</v>
      </c>
      <c r="AL101" s="1270">
        <v>377</v>
      </c>
      <c r="AM101" s="1270"/>
      <c r="AN101" s="1263"/>
      <c r="AO101" s="1263"/>
      <c r="AP101" s="1263" t="str">
        <f ca="1"/>
        <v>MANISA CAMILA</v>
      </c>
      <c r="AQ101" s="1263"/>
      <c r="AR101" s="1263"/>
      <c r="AS101" s="1263"/>
      <c r="AT101" s="1263"/>
      <c r="AU101" s="1263"/>
      <c r="AV101" s="1263"/>
      <c r="AW101" s="1263"/>
      <c r="AX101" s="1263"/>
      <c r="AY101" s="1263"/>
      <c r="AZ101" s="1263"/>
      <c r="BA101" s="1263"/>
      <c r="BB101" s="1263"/>
      <c r="BC101" s="1263"/>
      <c r="BD101" s="1263"/>
      <c r="BE101" s="1263"/>
      <c r="BF101" s="1263"/>
      <c r="BG101" s="1263"/>
      <c r="BH101" s="1263"/>
      <c r="BI101" s="1263"/>
      <c r="BJ101" s="1263"/>
      <c r="BK101" s="1263"/>
      <c r="BL101" s="1263"/>
      <c r="BM101" s="1263"/>
      <c r="BN101" s="1263"/>
      <c r="BO101" s="1263"/>
      <c r="BP101" s="1263"/>
      <c r="BQ101" s="1263"/>
      <c r="BR101" s="1263"/>
      <c r="BS101" s="1263"/>
      <c r="BT101" s="1263"/>
      <c r="BU101" s="1263"/>
      <c r="BV101" s="1263"/>
      <c r="BW101" s="1263"/>
      <c r="BX101" s="1263"/>
      <c r="BY101" s="1263"/>
      <c r="BZ101" s="1263"/>
      <c r="CA101" s="1263"/>
      <c r="CB101" s="1263"/>
      <c r="CC101" s="1263"/>
      <c r="CD101" s="1263"/>
      <c r="CE101" s="1263"/>
      <c r="CF101" s="1263"/>
      <c r="CG101" s="1263"/>
      <c r="CH101" s="1263"/>
      <c r="CI101" s="1263"/>
      <c r="CJ101" s="1263"/>
      <c r="CK101" s="1263"/>
      <c r="CL101" s="1263"/>
    </row>
    <row r="102" spans="1:90">
      <c r="A102" s="1264">
        <f t="shared" si="1"/>
        <v>101</v>
      </c>
      <c r="B102" s="1271" t="s">
        <v>509</v>
      </c>
      <c r="C102" s="1263" t="s">
        <v>412</v>
      </c>
      <c r="D102" s="1263" t="s">
        <v>413</v>
      </c>
      <c r="E102" s="1266">
        <v>172.1</v>
      </c>
      <c r="F102" s="1266">
        <v>179.95</v>
      </c>
      <c r="G102" s="1266">
        <v>6204</v>
      </c>
      <c r="H102" s="1266">
        <v>2958</v>
      </c>
      <c r="I102" s="1266">
        <v>9022</v>
      </c>
      <c r="J102" s="1266">
        <v>8.3000000000000007</v>
      </c>
      <c r="K102" s="1266">
        <v>3412.4</v>
      </c>
      <c r="L102" s="1267">
        <v>190</v>
      </c>
      <c r="M102" s="1266">
        <v>32</v>
      </c>
      <c r="N102" s="1263" t="s">
        <v>504</v>
      </c>
      <c r="O102" s="1263" t="s">
        <v>225</v>
      </c>
      <c r="P102" s="1263" t="s">
        <v>505</v>
      </c>
      <c r="Q102" s="1268">
        <v>6604.68</v>
      </c>
      <c r="R102" s="1268">
        <v>1.9</v>
      </c>
      <c r="S102" s="1272">
        <v>44369</v>
      </c>
      <c r="T102" s="1272">
        <v>44370</v>
      </c>
      <c r="U102" s="1270">
        <v>150</v>
      </c>
      <c r="V102" s="1273" t="s">
        <v>5</v>
      </c>
      <c r="W102" s="1270">
        <v>200</v>
      </c>
      <c r="X102" s="1263" t="s">
        <v>5</v>
      </c>
      <c r="Y102" s="1270">
        <v>150</v>
      </c>
      <c r="Z102" s="1263" t="s">
        <v>5</v>
      </c>
      <c r="AA102" s="1270">
        <v>718</v>
      </c>
      <c r="AB102" s="1270">
        <v>718</v>
      </c>
      <c r="AC102" s="1270">
        <v>720</v>
      </c>
      <c r="AD102" s="1270">
        <v>720</v>
      </c>
      <c r="AE102" s="1270">
        <v>711</v>
      </c>
      <c r="AF102" s="1270">
        <v>733</v>
      </c>
      <c r="AG102" s="1270">
        <v>370</v>
      </c>
      <c r="AH102" s="1270">
        <v>370</v>
      </c>
      <c r="AI102" s="1270">
        <v>470</v>
      </c>
      <c r="AJ102" s="1270">
        <v>470</v>
      </c>
      <c r="AK102" s="1270">
        <v>429</v>
      </c>
      <c r="AL102" s="1270">
        <v>440</v>
      </c>
      <c r="AM102" s="1270"/>
      <c r="AN102" s="1263"/>
      <c r="AO102" s="1263"/>
      <c r="AP102" s="1263" t="str">
        <f ca="1"/>
        <v>MANISA KRISTIN</v>
      </c>
      <c r="AQ102" s="1263"/>
      <c r="AR102" s="1263"/>
      <c r="AS102" s="1263"/>
      <c r="AT102" s="1263"/>
      <c r="AU102" s="1263"/>
      <c r="AV102" s="1263"/>
      <c r="AW102" s="1263"/>
      <c r="AX102" s="1263"/>
      <c r="AY102" s="1263"/>
      <c r="AZ102" s="1263"/>
      <c r="BA102" s="1263"/>
      <c r="BB102" s="1263"/>
      <c r="BC102" s="1263"/>
      <c r="BD102" s="1263"/>
      <c r="BE102" s="1263"/>
      <c r="BF102" s="1263"/>
      <c r="BG102" s="1263"/>
      <c r="BH102" s="1263"/>
      <c r="BI102" s="1263"/>
      <c r="BJ102" s="1263"/>
      <c r="BK102" s="1263"/>
      <c r="BL102" s="1263"/>
      <c r="BM102" s="1263"/>
      <c r="BN102" s="1263"/>
      <c r="BO102" s="1263"/>
      <c r="BP102" s="1263"/>
      <c r="BQ102" s="1263"/>
      <c r="BR102" s="1263"/>
      <c r="BS102" s="1263"/>
      <c r="BT102" s="1263"/>
      <c r="BU102" s="1263"/>
      <c r="BV102" s="1263"/>
      <c r="BW102" s="1263"/>
      <c r="BX102" s="1263"/>
      <c r="BY102" s="1263"/>
      <c r="BZ102" s="1263"/>
      <c r="CA102" s="1263"/>
      <c r="CB102" s="1263"/>
      <c r="CC102" s="1263"/>
      <c r="CD102" s="1263"/>
      <c r="CE102" s="1263"/>
      <c r="CF102" s="1263"/>
      <c r="CG102" s="1263"/>
      <c r="CH102" s="1263"/>
      <c r="CI102" s="1263"/>
      <c r="CJ102" s="1263"/>
      <c r="CK102" s="1263"/>
      <c r="CL102" s="1263"/>
    </row>
    <row r="103" spans="1:90">
      <c r="A103" s="1264">
        <f t="shared" si="1"/>
        <v>102</v>
      </c>
      <c r="B103" s="1271" t="s">
        <v>510</v>
      </c>
      <c r="C103" s="1263" t="s">
        <v>369</v>
      </c>
      <c r="D103" s="1263" t="s">
        <v>370</v>
      </c>
      <c r="E103" s="1266">
        <v>176.96</v>
      </c>
      <c r="F103" s="1266">
        <v>179.95</v>
      </c>
      <c r="G103" s="1266">
        <v>25546</v>
      </c>
      <c r="H103" s="1266">
        <v>13040</v>
      </c>
      <c r="I103" s="1266">
        <v>38557.51</v>
      </c>
      <c r="J103" s="1266">
        <v>10.5</v>
      </c>
      <c r="K103" s="1266">
        <v>10310</v>
      </c>
      <c r="L103" s="1267">
        <v>160</v>
      </c>
      <c r="M103" s="1266">
        <v>32</v>
      </c>
      <c r="N103" s="1263" t="s">
        <v>498</v>
      </c>
      <c r="O103" s="1263" t="s">
        <v>225</v>
      </c>
      <c r="P103" s="1263" t="s">
        <v>496</v>
      </c>
      <c r="Q103" s="1268">
        <v>32970</v>
      </c>
      <c r="R103" s="1268">
        <v>4.5330000000000004</v>
      </c>
      <c r="S103" s="1272">
        <v>44204</v>
      </c>
      <c r="T103" s="1272">
        <v>44213</v>
      </c>
      <c r="U103" s="1270">
        <v>500</v>
      </c>
      <c r="V103" s="1273" t="s">
        <v>5</v>
      </c>
      <c r="W103" s="1270">
        <v>940</v>
      </c>
      <c r="X103" s="1263" t="s">
        <v>226</v>
      </c>
      <c r="Y103" s="1270">
        <v>150</v>
      </c>
      <c r="Z103" s="1263" t="s">
        <v>5</v>
      </c>
      <c r="AA103" s="1270">
        <v>971</v>
      </c>
      <c r="AB103" s="1270">
        <v>958</v>
      </c>
      <c r="AC103" s="1270">
        <v>984</v>
      </c>
      <c r="AD103" s="1270">
        <v>962</v>
      </c>
      <c r="AE103" s="1270">
        <v>989</v>
      </c>
      <c r="AF103" s="1270">
        <v>960</v>
      </c>
      <c r="AG103" s="1270">
        <v>465</v>
      </c>
      <c r="AH103" s="1270">
        <v>457</v>
      </c>
      <c r="AI103" s="1270">
        <v>680</v>
      </c>
      <c r="AJ103" s="1270">
        <v>679</v>
      </c>
      <c r="AK103" s="1270">
        <v>576</v>
      </c>
      <c r="AL103" s="1270">
        <v>559</v>
      </c>
      <c r="AM103" s="1270"/>
      <c r="AN103" s="1263"/>
      <c r="AO103" s="1263"/>
      <c r="AP103" s="1263" t="str">
        <f ca="1"/>
        <v>MANISA STAR</v>
      </c>
      <c r="AQ103" s="1263"/>
      <c r="AR103" s="1263"/>
      <c r="AS103" s="1263"/>
      <c r="AT103" s="1263"/>
      <c r="AU103" s="1263"/>
      <c r="AV103" s="1263"/>
      <c r="AW103" s="1263"/>
      <c r="AX103" s="1263"/>
      <c r="AY103" s="1263"/>
      <c r="AZ103" s="1263"/>
      <c r="BA103" s="1263"/>
      <c r="BB103" s="1263"/>
      <c r="BC103" s="1263"/>
      <c r="BD103" s="1263"/>
      <c r="BE103" s="1263"/>
      <c r="BF103" s="1263"/>
      <c r="BG103" s="1263"/>
      <c r="BH103" s="1263"/>
      <c r="BI103" s="1263"/>
      <c r="BJ103" s="1263"/>
      <c r="BK103" s="1263"/>
      <c r="BL103" s="1263"/>
      <c r="BM103" s="1263"/>
      <c r="BN103" s="1263"/>
      <c r="BO103" s="1263"/>
      <c r="BP103" s="1263"/>
      <c r="BQ103" s="1263"/>
      <c r="BR103" s="1263"/>
      <c r="BS103" s="1263"/>
      <c r="BT103" s="1263"/>
      <c r="BU103" s="1263"/>
      <c r="BV103" s="1263"/>
      <c r="BW103" s="1263"/>
      <c r="BX103" s="1263"/>
      <c r="BY103" s="1263"/>
      <c r="BZ103" s="1263"/>
      <c r="CA103" s="1263"/>
      <c r="CB103" s="1263"/>
      <c r="CC103" s="1263"/>
      <c r="CD103" s="1263"/>
      <c r="CE103" s="1263"/>
      <c r="CF103" s="1263"/>
      <c r="CG103" s="1263"/>
      <c r="CH103" s="1263"/>
      <c r="CI103" s="1263"/>
      <c r="CJ103" s="1263"/>
      <c r="CK103" s="1263"/>
      <c r="CL103" s="1263"/>
    </row>
    <row r="104" spans="1:90">
      <c r="A104" s="1264">
        <f t="shared" si="1"/>
        <v>103</v>
      </c>
      <c r="B104" s="1271" t="s">
        <v>511</v>
      </c>
      <c r="C104" s="1263" t="s">
        <v>300</v>
      </c>
      <c r="D104" s="1263" t="s">
        <v>512</v>
      </c>
      <c r="E104" s="1266">
        <v>112.29</v>
      </c>
      <c r="F104" s="1266">
        <v>118.14</v>
      </c>
      <c r="G104" s="1266">
        <v>5667</v>
      </c>
      <c r="H104" s="1266">
        <v>3048</v>
      </c>
      <c r="I104" s="1266">
        <v>8137.5</v>
      </c>
      <c r="J104" s="1266">
        <v>7.2119999999999997</v>
      </c>
      <c r="K104" s="1266">
        <v>2949.4</v>
      </c>
      <c r="L104" s="1267">
        <v>75</v>
      </c>
      <c r="M104" s="1266">
        <v>15.9</v>
      </c>
      <c r="N104" s="1263" t="s">
        <v>225</v>
      </c>
      <c r="O104" s="1263" t="s">
        <v>513</v>
      </c>
      <c r="P104" s="1263" t="s">
        <v>514</v>
      </c>
      <c r="Q104" s="1268">
        <v>4321.9859999999999</v>
      </c>
      <c r="R104" s="1268">
        <v>1.6</v>
      </c>
      <c r="S104" s="1272">
        <v>44455</v>
      </c>
      <c r="T104" s="1272">
        <v>44456</v>
      </c>
      <c r="U104" s="1270">
        <v>429</v>
      </c>
      <c r="V104" s="1273" t="s">
        <v>5</v>
      </c>
      <c r="W104" s="1270">
        <v>240</v>
      </c>
      <c r="X104" s="1263" t="s">
        <v>5</v>
      </c>
      <c r="Y104" s="1270">
        <v>122</v>
      </c>
      <c r="Z104" s="1263" t="s">
        <v>5</v>
      </c>
      <c r="AA104" s="1270">
        <v>560</v>
      </c>
      <c r="AB104" s="1270">
        <v>560</v>
      </c>
      <c r="AC104" s="1270">
        <v>723</v>
      </c>
      <c r="AD104" s="1270">
        <v>723</v>
      </c>
      <c r="AE104" s="1270">
        <v>645</v>
      </c>
      <c r="AF104" s="1270">
        <v>647</v>
      </c>
      <c r="AG104" s="1270">
        <v>670</v>
      </c>
      <c r="AH104" s="1270">
        <v>670</v>
      </c>
      <c r="AI104" s="1270">
        <v>640</v>
      </c>
      <c r="AJ104" s="1270">
        <v>640</v>
      </c>
      <c r="AK104" s="1270">
        <v>714</v>
      </c>
      <c r="AL104" s="1270">
        <v>709</v>
      </c>
      <c r="AM104" s="1270"/>
      <c r="AN104" s="1263"/>
      <c r="AO104" s="1263"/>
      <c r="AP104" s="1263" t="str">
        <f ca="1"/>
        <v>ROSALIA</v>
      </c>
      <c r="AQ104" s="1263"/>
      <c r="AR104" s="1263"/>
      <c r="AS104" s="1263"/>
      <c r="AT104" s="1263"/>
      <c r="AU104" s="1263"/>
      <c r="AV104" s="1263"/>
      <c r="AW104" s="1263"/>
      <c r="AX104" s="1263"/>
      <c r="AY104" s="1263"/>
      <c r="AZ104" s="1263"/>
      <c r="BA104" s="1263"/>
      <c r="BB104" s="1263"/>
      <c r="BC104" s="1263"/>
      <c r="BD104" s="1263"/>
      <c r="BE104" s="1263"/>
      <c r="BF104" s="1263"/>
      <c r="BG104" s="1263"/>
      <c r="BH104" s="1263"/>
      <c r="BI104" s="1263"/>
      <c r="BJ104" s="1263"/>
      <c r="BK104" s="1263"/>
      <c r="BL104" s="1263"/>
      <c r="BM104" s="1263"/>
      <c r="BN104" s="1263"/>
      <c r="BO104" s="1263"/>
      <c r="BP104" s="1263"/>
      <c r="BQ104" s="1263"/>
      <c r="BR104" s="1263"/>
      <c r="BS104" s="1263"/>
      <c r="BT104" s="1263"/>
      <c r="BU104" s="1263"/>
      <c r="BV104" s="1263"/>
      <c r="BW104" s="1263"/>
      <c r="BX104" s="1263"/>
      <c r="BY104" s="1263"/>
      <c r="BZ104" s="1263"/>
      <c r="CA104" s="1263"/>
      <c r="CB104" s="1263"/>
      <c r="CC104" s="1263"/>
      <c r="CD104" s="1263"/>
      <c r="CE104" s="1263"/>
      <c r="CF104" s="1263"/>
      <c r="CG104" s="1263"/>
      <c r="CH104" s="1263"/>
      <c r="CI104" s="1263"/>
      <c r="CJ104" s="1263"/>
      <c r="CK104" s="1263"/>
      <c r="CL104" s="1263"/>
    </row>
    <row r="105" spans="1:90">
      <c r="A105" s="1264">
        <f t="shared" si="1"/>
        <v>104</v>
      </c>
      <c r="B105" s="1271" t="s">
        <v>515</v>
      </c>
      <c r="C105" s="1263" t="s">
        <v>406</v>
      </c>
      <c r="D105" s="1263" t="s">
        <v>480</v>
      </c>
      <c r="E105" s="1266">
        <v>106.235</v>
      </c>
      <c r="F105" s="1266">
        <v>112.7</v>
      </c>
      <c r="G105" s="1266">
        <v>4200</v>
      </c>
      <c r="H105" s="1266">
        <v>2144</v>
      </c>
      <c r="I105" s="1266">
        <v>6470</v>
      </c>
      <c r="J105" s="1266">
        <v>6.7089999999999996</v>
      </c>
      <c r="K105" s="1266">
        <v>2087.1</v>
      </c>
      <c r="L105" s="1267">
        <v>50</v>
      </c>
      <c r="M105" s="1266">
        <v>15.2</v>
      </c>
      <c r="N105" s="1263" t="s">
        <v>225</v>
      </c>
      <c r="O105" s="1263" t="s">
        <v>513</v>
      </c>
      <c r="P105" s="1263" t="s">
        <v>514</v>
      </c>
      <c r="Q105" s="1268">
        <v>6010.1639999999998</v>
      </c>
      <c r="R105" s="1268">
        <v>1.929</v>
      </c>
      <c r="S105" s="1272">
        <v>44267</v>
      </c>
      <c r="T105" s="1272">
        <v>44268</v>
      </c>
      <c r="U105" s="1270">
        <v>20</v>
      </c>
      <c r="V105" s="1273" t="s">
        <v>5</v>
      </c>
      <c r="W105" s="1270">
        <v>480</v>
      </c>
      <c r="X105" s="1263" t="s">
        <v>226</v>
      </c>
      <c r="Y105" s="1270">
        <v>0</v>
      </c>
      <c r="Z105" s="1263" t="s">
        <v>306</v>
      </c>
      <c r="AA105" s="1270">
        <v>327</v>
      </c>
      <c r="AB105" s="1270">
        <v>327</v>
      </c>
      <c r="AC105" s="1270">
        <v>449</v>
      </c>
      <c r="AD105" s="1270">
        <v>449</v>
      </c>
      <c r="AE105" s="1270">
        <v>394</v>
      </c>
      <c r="AF105" s="1270">
        <v>385</v>
      </c>
      <c r="AG105" s="1270">
        <v>641</v>
      </c>
      <c r="AH105" s="1270">
        <v>641</v>
      </c>
      <c r="AI105" s="1270">
        <v>670</v>
      </c>
      <c r="AJ105" s="1270">
        <v>670</v>
      </c>
      <c r="AK105" s="1270">
        <v>659</v>
      </c>
      <c r="AL105" s="1270">
        <v>658</v>
      </c>
      <c r="AM105" s="1270"/>
      <c r="AN105" s="1263"/>
      <c r="AO105" s="1263"/>
      <c r="AP105" s="1263" t="str">
        <f ca="1"/>
        <v>TRITO NAVIGATOR</v>
      </c>
      <c r="AQ105" s="1263"/>
      <c r="AR105" s="1263"/>
      <c r="AS105" s="1263"/>
      <c r="AT105" s="1263"/>
      <c r="AU105" s="1263"/>
      <c r="AV105" s="1263"/>
      <c r="AW105" s="1263"/>
      <c r="AX105" s="1263"/>
      <c r="AY105" s="1263"/>
      <c r="AZ105" s="1263"/>
      <c r="BA105" s="1263"/>
      <c r="BB105" s="1263"/>
      <c r="BC105" s="1263"/>
      <c r="BD105" s="1263"/>
      <c r="BE105" s="1263"/>
      <c r="BF105" s="1263"/>
      <c r="BG105" s="1263"/>
      <c r="BH105" s="1263"/>
      <c r="BI105" s="1263"/>
      <c r="BJ105" s="1263"/>
      <c r="BK105" s="1263"/>
      <c r="BL105" s="1263"/>
      <c r="BM105" s="1263"/>
      <c r="BN105" s="1263"/>
      <c r="BO105" s="1263"/>
      <c r="BP105" s="1263"/>
      <c r="BQ105" s="1263"/>
      <c r="BR105" s="1263"/>
      <c r="BS105" s="1263"/>
      <c r="BT105" s="1263"/>
      <c r="BU105" s="1263"/>
      <c r="BV105" s="1263"/>
      <c r="BW105" s="1263"/>
      <c r="BX105" s="1263"/>
      <c r="BY105" s="1263"/>
      <c r="BZ105" s="1263"/>
      <c r="CA105" s="1263"/>
      <c r="CB105" s="1263"/>
      <c r="CC105" s="1263"/>
      <c r="CD105" s="1263"/>
      <c r="CE105" s="1263"/>
      <c r="CF105" s="1263"/>
      <c r="CG105" s="1263"/>
      <c r="CH105" s="1263"/>
      <c r="CI105" s="1263"/>
      <c r="CJ105" s="1263"/>
      <c r="CK105" s="1263"/>
      <c r="CL105" s="1263"/>
    </row>
    <row r="106" spans="1:90">
      <c r="A106" s="1264">
        <f t="shared" si="1"/>
        <v>105</v>
      </c>
      <c r="B106" s="1271" t="s">
        <v>516</v>
      </c>
      <c r="C106" s="1263" t="s">
        <v>483</v>
      </c>
      <c r="D106" s="1263" t="s">
        <v>484</v>
      </c>
      <c r="E106" s="1266">
        <v>185</v>
      </c>
      <c r="F106" s="1266">
        <v>193.07</v>
      </c>
      <c r="G106" s="1266">
        <v>33631</v>
      </c>
      <c r="H106" s="1266">
        <v>19329</v>
      </c>
      <c r="I106" s="1266">
        <v>57437</v>
      </c>
      <c r="J106" s="1266">
        <v>13.019</v>
      </c>
      <c r="K106" s="1266">
        <v>11257</v>
      </c>
      <c r="L106" s="1267">
        <v>340</v>
      </c>
      <c r="M106" s="1266">
        <v>32.26</v>
      </c>
      <c r="N106" s="1263" t="s">
        <v>251</v>
      </c>
      <c r="O106" s="1263" t="s">
        <v>517</v>
      </c>
      <c r="P106" s="1263" t="s">
        <v>518</v>
      </c>
      <c r="Q106" s="1268">
        <v>39500.358</v>
      </c>
      <c r="R106" s="1268">
        <v>5.48</v>
      </c>
      <c r="S106" s="1272">
        <v>44218</v>
      </c>
      <c r="T106" s="1272">
        <v>44220</v>
      </c>
      <c r="U106" s="1270">
        <v>840</v>
      </c>
      <c r="V106" s="1273" t="s">
        <v>5</v>
      </c>
      <c r="W106" s="1270">
        <v>920</v>
      </c>
      <c r="X106" s="1263" t="s">
        <v>226</v>
      </c>
      <c r="Y106" s="1270">
        <v>0</v>
      </c>
      <c r="Z106" s="1263" t="s">
        <v>306</v>
      </c>
      <c r="AA106" s="1270">
        <v>500</v>
      </c>
      <c r="AB106" s="1270">
        <v>492</v>
      </c>
      <c r="AC106" s="1270">
        <v>661</v>
      </c>
      <c r="AD106" s="1270">
        <v>660</v>
      </c>
      <c r="AE106" s="1270">
        <v>582</v>
      </c>
      <c r="AF106" s="1270">
        <v>569</v>
      </c>
      <c r="AG106" s="1270">
        <v>1021</v>
      </c>
      <c r="AH106" s="1270">
        <v>1020</v>
      </c>
      <c r="AI106" s="1270">
        <v>1026</v>
      </c>
      <c r="AJ106" s="1270">
        <v>1025</v>
      </c>
      <c r="AK106" s="1270">
        <v>1024</v>
      </c>
      <c r="AL106" s="1270">
        <v>1023</v>
      </c>
      <c r="AM106" s="1270"/>
      <c r="AN106" s="1263"/>
      <c r="AO106" s="1263"/>
      <c r="AP106" s="1263" t="str">
        <f ca="1"/>
        <v>WILSON SUND</v>
      </c>
      <c r="AQ106" s="1263"/>
      <c r="AR106" s="1263"/>
      <c r="AS106" s="1263"/>
      <c r="AT106" s="1263"/>
      <c r="AU106" s="1263"/>
      <c r="AV106" s="1263"/>
      <c r="AW106" s="1263"/>
      <c r="AX106" s="1263"/>
      <c r="AY106" s="1263"/>
      <c r="AZ106" s="1263"/>
      <c r="BA106" s="1263"/>
      <c r="BB106" s="1263"/>
      <c r="BC106" s="1263"/>
      <c r="BD106" s="1263"/>
      <c r="BE106" s="1263"/>
      <c r="BF106" s="1263"/>
      <c r="BG106" s="1263"/>
      <c r="BH106" s="1263"/>
      <c r="BI106" s="1263"/>
      <c r="BJ106" s="1263"/>
      <c r="BK106" s="1263"/>
      <c r="BL106" s="1263"/>
      <c r="BM106" s="1263"/>
      <c r="BN106" s="1263"/>
      <c r="BO106" s="1263"/>
      <c r="BP106" s="1263"/>
      <c r="BQ106" s="1263"/>
      <c r="BR106" s="1263"/>
      <c r="BS106" s="1263"/>
      <c r="BT106" s="1263"/>
      <c r="BU106" s="1263"/>
      <c r="BV106" s="1263"/>
      <c r="BW106" s="1263"/>
      <c r="BX106" s="1263"/>
      <c r="BY106" s="1263"/>
      <c r="BZ106" s="1263"/>
      <c r="CA106" s="1263"/>
      <c r="CB106" s="1263"/>
      <c r="CC106" s="1263"/>
      <c r="CD106" s="1263"/>
      <c r="CE106" s="1263"/>
      <c r="CF106" s="1263"/>
      <c r="CG106" s="1263"/>
      <c r="CH106" s="1263"/>
      <c r="CI106" s="1263"/>
      <c r="CJ106" s="1263"/>
      <c r="CK106" s="1263"/>
      <c r="CL106" s="1263"/>
    </row>
    <row r="107" spans="1:90">
      <c r="A107" s="1264">
        <f t="shared" si="1"/>
        <v>106</v>
      </c>
      <c r="B107" s="1271" t="s">
        <v>519</v>
      </c>
      <c r="C107" s="1263" t="s">
        <v>374</v>
      </c>
      <c r="D107" s="1263" t="s">
        <v>374</v>
      </c>
      <c r="E107" s="1266">
        <v>87.77</v>
      </c>
      <c r="F107" s="1266">
        <v>94.82</v>
      </c>
      <c r="G107" s="1266">
        <v>4043</v>
      </c>
      <c r="H107" s="1266">
        <v>2079</v>
      </c>
      <c r="I107" s="1266">
        <v>6245</v>
      </c>
      <c r="J107" s="1266">
        <v>7.415</v>
      </c>
      <c r="K107" s="1266">
        <v>2155</v>
      </c>
      <c r="L107" s="1267">
        <v>150</v>
      </c>
      <c r="M107" s="1266">
        <v>17.899999999999999</v>
      </c>
      <c r="N107" s="1263" t="s">
        <v>251</v>
      </c>
      <c r="O107" s="1263" t="s">
        <v>520</v>
      </c>
      <c r="P107" s="1263" t="s">
        <v>518</v>
      </c>
      <c r="Q107" s="1268">
        <v>4213.8900000000003</v>
      </c>
      <c r="R107" s="1268">
        <v>1.9450000000000001</v>
      </c>
      <c r="S107" s="1272">
        <v>44248</v>
      </c>
      <c r="T107" s="1272">
        <v>44249</v>
      </c>
      <c r="U107" s="1270">
        <v>130</v>
      </c>
      <c r="V107" s="1273" t="s">
        <v>5</v>
      </c>
      <c r="W107" s="1270">
        <v>159</v>
      </c>
      <c r="X107" s="1263" t="s">
        <v>5</v>
      </c>
      <c r="Y107" s="1270">
        <v>80</v>
      </c>
      <c r="Z107" s="1263" t="s">
        <v>5</v>
      </c>
      <c r="AA107" s="1270">
        <v>298</v>
      </c>
      <c r="AB107" s="1270">
        <v>298</v>
      </c>
      <c r="AC107" s="1270">
        <v>420</v>
      </c>
      <c r="AD107" s="1270">
        <v>420</v>
      </c>
      <c r="AE107" s="1270">
        <v>341</v>
      </c>
      <c r="AF107" s="1270">
        <v>341</v>
      </c>
      <c r="AG107" s="1270">
        <v>670</v>
      </c>
      <c r="AH107" s="1270">
        <v>670</v>
      </c>
      <c r="AI107" s="1270">
        <v>673</v>
      </c>
      <c r="AJ107" s="1270">
        <v>673</v>
      </c>
      <c r="AK107" s="1270">
        <v>672</v>
      </c>
      <c r="AL107" s="1270">
        <v>672</v>
      </c>
      <c r="AM107" s="1270"/>
      <c r="AN107" s="1263"/>
      <c r="AO107" s="1263"/>
      <c r="AP107" s="1263" t="str">
        <f ca="1"/>
        <v>DESERT SPRING</v>
      </c>
      <c r="AQ107" s="1263"/>
      <c r="AR107" s="1263"/>
      <c r="AS107" s="1263"/>
      <c r="AT107" s="1263"/>
      <c r="AU107" s="1263"/>
      <c r="AV107" s="1263"/>
      <c r="AW107" s="1263"/>
      <c r="AX107" s="1263"/>
      <c r="AY107" s="1263"/>
      <c r="AZ107" s="1263"/>
      <c r="BA107" s="1263"/>
      <c r="BB107" s="1263"/>
      <c r="BC107" s="1263"/>
      <c r="BD107" s="1263"/>
      <c r="BE107" s="1263"/>
      <c r="BF107" s="1263"/>
      <c r="BG107" s="1263"/>
      <c r="BH107" s="1263"/>
      <c r="BI107" s="1263"/>
      <c r="BJ107" s="1263"/>
      <c r="BK107" s="1263"/>
      <c r="BL107" s="1263"/>
      <c r="BM107" s="1263"/>
      <c r="BN107" s="1263"/>
      <c r="BO107" s="1263"/>
      <c r="BP107" s="1263"/>
      <c r="BQ107" s="1263"/>
      <c r="BR107" s="1263"/>
      <c r="BS107" s="1263"/>
      <c r="BT107" s="1263"/>
      <c r="BU107" s="1263"/>
      <c r="BV107" s="1263"/>
      <c r="BW107" s="1263"/>
      <c r="BX107" s="1263"/>
      <c r="BY107" s="1263"/>
      <c r="BZ107" s="1263"/>
      <c r="CA107" s="1263"/>
      <c r="CB107" s="1263"/>
      <c r="CC107" s="1263"/>
      <c r="CD107" s="1263"/>
      <c r="CE107" s="1263"/>
      <c r="CF107" s="1263"/>
      <c r="CG107" s="1263"/>
      <c r="CH107" s="1263"/>
      <c r="CI107" s="1263"/>
      <c r="CJ107" s="1263"/>
      <c r="CK107" s="1263"/>
      <c r="CL107" s="1263"/>
    </row>
    <row r="108" spans="1:90">
      <c r="A108" s="1264">
        <f t="shared" si="1"/>
        <v>107</v>
      </c>
      <c r="B108" s="1271" t="s">
        <v>521</v>
      </c>
      <c r="C108" s="1263" t="s">
        <v>483</v>
      </c>
      <c r="D108" s="1263" t="s">
        <v>484</v>
      </c>
      <c r="E108" s="1266">
        <v>182</v>
      </c>
      <c r="F108" s="1266">
        <v>189.99</v>
      </c>
      <c r="G108" s="1266">
        <v>31255</v>
      </c>
      <c r="H108" s="1266">
        <v>18516</v>
      </c>
      <c r="I108" s="1266">
        <v>55526</v>
      </c>
      <c r="J108" s="1266">
        <v>12.573</v>
      </c>
      <c r="K108" s="1266">
        <v>9041</v>
      </c>
      <c r="L108" s="1267">
        <v>350</v>
      </c>
      <c r="M108" s="1266">
        <v>32.26</v>
      </c>
      <c r="N108" s="1263" t="s">
        <v>251</v>
      </c>
      <c r="O108" s="1263" t="s">
        <v>522</v>
      </c>
      <c r="P108" s="1263" t="s">
        <v>518</v>
      </c>
      <c r="Q108" s="1268">
        <v>40004.449000000001</v>
      </c>
      <c r="R108" s="1268">
        <v>5.375</v>
      </c>
      <c r="S108" s="1272">
        <v>44231</v>
      </c>
      <c r="T108" s="1272">
        <v>44235</v>
      </c>
      <c r="U108" s="1270">
        <v>276</v>
      </c>
      <c r="V108" s="1273" t="s">
        <v>5</v>
      </c>
      <c r="W108" s="1270">
        <v>868</v>
      </c>
      <c r="X108" s="1263" t="s">
        <v>226</v>
      </c>
      <c r="Y108" s="1270">
        <v>0</v>
      </c>
      <c r="Z108" s="1263" t="s">
        <v>306</v>
      </c>
      <c r="AA108" s="1270">
        <v>431</v>
      </c>
      <c r="AB108" s="1270">
        <v>459</v>
      </c>
      <c r="AC108" s="1270">
        <v>631</v>
      </c>
      <c r="AD108" s="1270">
        <v>673</v>
      </c>
      <c r="AE108" s="1270">
        <v>593</v>
      </c>
      <c r="AF108" s="1270">
        <v>577</v>
      </c>
      <c r="AG108" s="1270">
        <v>991</v>
      </c>
      <c r="AH108" s="1270">
        <v>989</v>
      </c>
      <c r="AI108" s="1270">
        <v>1002</v>
      </c>
      <c r="AJ108" s="1270">
        <v>1011</v>
      </c>
      <c r="AK108" s="1270">
        <v>990</v>
      </c>
      <c r="AL108" s="1270">
        <v>1009</v>
      </c>
      <c r="AM108" s="1270"/>
      <c r="AN108" s="1263"/>
      <c r="AO108" s="1263"/>
      <c r="AP108" s="1263" t="str">
        <f ca="1"/>
        <v>PHOBOS</v>
      </c>
      <c r="AQ108" s="1263"/>
      <c r="AR108" s="1263"/>
      <c r="AS108" s="1263"/>
      <c r="AT108" s="1263"/>
      <c r="AU108" s="1263"/>
      <c r="AV108" s="1263"/>
      <c r="AW108" s="1263"/>
      <c r="AX108" s="1263"/>
      <c r="AY108" s="1263"/>
      <c r="AZ108" s="1263"/>
      <c r="BA108" s="1263"/>
      <c r="BB108" s="1263"/>
      <c r="BC108" s="1263"/>
      <c r="BD108" s="1263"/>
      <c r="BE108" s="1263"/>
      <c r="BF108" s="1263"/>
      <c r="BG108" s="1263"/>
      <c r="BH108" s="1263"/>
      <c r="BI108" s="1263"/>
      <c r="BJ108" s="1263"/>
      <c r="BK108" s="1263"/>
      <c r="BL108" s="1263"/>
      <c r="BM108" s="1263"/>
      <c r="BN108" s="1263"/>
      <c r="BO108" s="1263"/>
      <c r="BP108" s="1263"/>
      <c r="BQ108" s="1263"/>
      <c r="BR108" s="1263"/>
      <c r="BS108" s="1263"/>
      <c r="BT108" s="1263"/>
      <c r="BU108" s="1263"/>
      <c r="BV108" s="1263"/>
      <c r="BW108" s="1263"/>
      <c r="BX108" s="1263"/>
      <c r="BY108" s="1263"/>
      <c r="BZ108" s="1263"/>
      <c r="CA108" s="1263"/>
      <c r="CB108" s="1263"/>
      <c r="CC108" s="1263"/>
      <c r="CD108" s="1263"/>
      <c r="CE108" s="1263"/>
      <c r="CF108" s="1263"/>
      <c r="CG108" s="1263"/>
      <c r="CH108" s="1263"/>
      <c r="CI108" s="1263"/>
      <c r="CJ108" s="1263"/>
      <c r="CK108" s="1263"/>
      <c r="CL108" s="1263"/>
    </row>
    <row r="109" spans="1:90">
      <c r="A109" s="1264" t="str">
        <f t="shared" si="1"/>
        <v/>
      </c>
      <c r="B109" s="1271"/>
      <c r="C109" s="1263"/>
      <c r="D109" s="1263"/>
      <c r="E109" s="1266"/>
      <c r="F109" s="1266"/>
      <c r="G109" s="1266"/>
      <c r="H109" s="1266"/>
      <c r="I109" s="1266"/>
      <c r="J109" s="1266"/>
      <c r="K109" s="1266"/>
      <c r="L109" s="1267"/>
      <c r="M109" s="1266"/>
      <c r="N109" s="1263"/>
      <c r="O109" s="1263"/>
      <c r="P109" s="1263"/>
      <c r="Q109" s="1268"/>
      <c r="R109" s="1268"/>
      <c r="S109" s="1269"/>
      <c r="T109" s="1269"/>
      <c r="U109" s="1270"/>
      <c r="V109" s="1263"/>
      <c r="W109" s="1270"/>
      <c r="X109" s="1263"/>
      <c r="Y109" s="1270"/>
      <c r="Z109" s="1263"/>
      <c r="AA109" s="1270"/>
      <c r="AB109" s="1270"/>
      <c r="AC109" s="1270"/>
      <c r="AD109" s="1270"/>
      <c r="AE109" s="1270"/>
      <c r="AF109" s="1270"/>
      <c r="AG109" s="1270"/>
      <c r="AH109" s="1270"/>
      <c r="AI109" s="1270"/>
      <c r="AJ109" s="1270"/>
      <c r="AK109" s="1270"/>
      <c r="AL109" s="1270"/>
      <c r="AM109" s="1270"/>
      <c r="AN109" s="1263"/>
      <c r="AO109" s="1263"/>
      <c r="AP109" s="1263" t="str">
        <f ca="1"/>
        <v>YASA UNSAL SUNAR</v>
      </c>
      <c r="AQ109" s="1263"/>
      <c r="AR109" s="1263"/>
      <c r="AS109" s="1263"/>
      <c r="AT109" s="1263"/>
      <c r="AU109" s="1263"/>
      <c r="AV109" s="1263"/>
      <c r="AW109" s="1263"/>
      <c r="AX109" s="1263"/>
      <c r="AY109" s="1263"/>
      <c r="AZ109" s="1263"/>
      <c r="BA109" s="1263"/>
      <c r="BB109" s="1263"/>
      <c r="BC109" s="1263"/>
      <c r="BD109" s="1263"/>
      <c r="BE109" s="1263"/>
      <c r="BF109" s="1263"/>
      <c r="BG109" s="1263"/>
      <c r="BH109" s="1263"/>
      <c r="BI109" s="1263"/>
      <c r="BJ109" s="1263"/>
      <c r="BK109" s="1263"/>
      <c r="BL109" s="1263"/>
      <c r="BM109" s="1263"/>
      <c r="BN109" s="1263"/>
      <c r="BO109" s="1263"/>
      <c r="BP109" s="1263"/>
      <c r="BQ109" s="1263"/>
      <c r="BR109" s="1263"/>
      <c r="BS109" s="1263"/>
      <c r="BT109" s="1263"/>
      <c r="BU109" s="1263"/>
      <c r="BV109" s="1263"/>
      <c r="BW109" s="1263"/>
      <c r="BX109" s="1263"/>
      <c r="BY109" s="1263"/>
      <c r="BZ109" s="1263"/>
      <c r="CA109" s="1263"/>
      <c r="CB109" s="1263"/>
      <c r="CC109" s="1263"/>
      <c r="CD109" s="1263"/>
      <c r="CE109" s="1263"/>
      <c r="CF109" s="1263"/>
      <c r="CG109" s="1263"/>
      <c r="CH109" s="1263"/>
      <c r="CI109" s="1263"/>
      <c r="CJ109" s="1263"/>
      <c r="CK109" s="1263"/>
      <c r="CL109" s="1263"/>
    </row>
    <row r="110" spans="1:90">
      <c r="A110" s="174" t="str">
        <f t="shared" si="1"/>
        <v/>
      </c>
      <c r="Y110" s="179"/>
      <c r="AM110" s="179"/>
      <c r="AP110">
        <f ca="1"/>
        <v>0</v>
      </c>
    </row>
    <row r="111" spans="1:90">
      <c r="A111" s="174" t="str">
        <f t="shared" si="1"/>
        <v/>
      </c>
      <c r="Y111" s="179"/>
      <c r="AM111" s="179"/>
      <c r="AP111">
        <f ca="1"/>
        <v>0</v>
      </c>
    </row>
    <row r="112" spans="1:90">
      <c r="A112" s="174" t="str">
        <f t="shared" si="1"/>
        <v/>
      </c>
      <c r="Y112" s="179"/>
      <c r="AM112" s="179"/>
      <c r="AP112">
        <f ca="1"/>
        <v>0</v>
      </c>
    </row>
    <row r="113" spans="1:42">
      <c r="A113" s="174" t="str">
        <f t="shared" si="1"/>
        <v/>
      </c>
      <c r="Y113" s="179"/>
      <c r="AM113" s="179"/>
      <c r="AP113">
        <f ca="1"/>
        <v>0</v>
      </c>
    </row>
    <row r="114" spans="1:42">
      <c r="A114" s="174" t="str">
        <f t="shared" si="1"/>
        <v/>
      </c>
      <c r="Y114" s="179"/>
      <c r="AM114" s="179"/>
      <c r="AP114">
        <f ca="1"/>
        <v>0</v>
      </c>
    </row>
    <row r="115" spans="1:42">
      <c r="A115" s="174" t="str">
        <f t="shared" si="1"/>
        <v/>
      </c>
      <c r="Y115" s="179"/>
      <c r="AM115" s="179"/>
      <c r="AP115">
        <f ca="1"/>
        <v>0</v>
      </c>
    </row>
    <row r="116" spans="1:42">
      <c r="A116" s="174" t="str">
        <f t="shared" si="1"/>
        <v/>
      </c>
      <c r="Y116" s="179"/>
      <c r="AM116" s="179"/>
      <c r="AP116">
        <f ca="1"/>
        <v>0</v>
      </c>
    </row>
    <row r="117" spans="1:42">
      <c r="A117" s="174" t="str">
        <f t="shared" si="1"/>
        <v/>
      </c>
      <c r="Y117" s="179"/>
      <c r="AM117" s="179"/>
      <c r="AP117">
        <f ca="1"/>
        <v>0</v>
      </c>
    </row>
    <row r="118" spans="1:42">
      <c r="A118" s="174" t="str">
        <f t="shared" si="1"/>
        <v/>
      </c>
      <c r="Y118" s="179"/>
      <c r="AM118" s="179"/>
      <c r="AP118">
        <f ca="1"/>
        <v>0</v>
      </c>
    </row>
    <row r="119" spans="1:42">
      <c r="A119" s="174" t="str">
        <f t="shared" si="1"/>
        <v/>
      </c>
      <c r="Y119" s="179"/>
      <c r="AM119" s="179"/>
      <c r="AP119">
        <f ca="1"/>
        <v>0</v>
      </c>
    </row>
    <row r="120" spans="1:42">
      <c r="A120" s="174" t="str">
        <f t="shared" si="1"/>
        <v/>
      </c>
      <c r="Y120" s="179"/>
      <c r="AM120" s="179"/>
      <c r="AP120">
        <f ca="1"/>
        <v>0</v>
      </c>
    </row>
    <row r="121" spans="1:42">
      <c r="A121" s="174" t="str">
        <f t="shared" si="1"/>
        <v/>
      </c>
      <c r="Y121" s="179"/>
      <c r="AM121" s="179"/>
      <c r="AP121">
        <f ca="1"/>
        <v>0</v>
      </c>
    </row>
    <row r="122" spans="1:42">
      <c r="A122" s="174" t="str">
        <f t="shared" si="1"/>
        <v/>
      </c>
      <c r="Y122" s="179"/>
      <c r="AM122" s="179"/>
      <c r="AP122">
        <f ca="1"/>
        <v>0</v>
      </c>
    </row>
    <row r="123" spans="1:42">
      <c r="A123" s="174" t="str">
        <f t="shared" si="1"/>
        <v/>
      </c>
      <c r="Y123" s="179"/>
      <c r="AM123" s="179"/>
      <c r="AP123">
        <f ca="1"/>
        <v>0</v>
      </c>
    </row>
    <row r="124" spans="1:42">
      <c r="A124" s="174" t="str">
        <f t="shared" si="1"/>
        <v/>
      </c>
      <c r="Y124" s="179"/>
      <c r="AM124" s="179"/>
      <c r="AP124">
        <f ca="1"/>
        <v>0</v>
      </c>
    </row>
    <row r="125" spans="1:42">
      <c r="A125" s="174" t="str">
        <f t="shared" si="1"/>
        <v/>
      </c>
      <c r="Y125" s="179"/>
      <c r="AM125" s="179"/>
      <c r="AP125">
        <f ca="1"/>
        <v>0</v>
      </c>
    </row>
    <row r="126" spans="1:42">
      <c r="A126" s="174" t="str">
        <f t="shared" si="1"/>
        <v/>
      </c>
      <c r="Y126" s="179"/>
      <c r="AM126" s="179"/>
      <c r="AP126">
        <f ca="1"/>
        <v>0</v>
      </c>
    </row>
    <row r="127" spans="1:42">
      <c r="A127" s="174" t="str">
        <f t="shared" si="1"/>
        <v/>
      </c>
      <c r="Y127" s="179"/>
      <c r="AM127" s="179"/>
      <c r="AP127">
        <f ca="1"/>
        <v>0</v>
      </c>
    </row>
    <row r="128" spans="1:42">
      <c r="A128" s="174" t="str">
        <f t="shared" si="1"/>
        <v/>
      </c>
      <c r="Y128" s="179"/>
      <c r="AM128" s="179"/>
      <c r="AP128">
        <f ca="1"/>
        <v>0</v>
      </c>
    </row>
    <row r="129" spans="1:42">
      <c r="A129" s="174" t="str">
        <f t="shared" si="1"/>
        <v/>
      </c>
      <c r="Y129" s="179"/>
      <c r="AM129" s="179"/>
      <c r="AP129">
        <f ca="1"/>
        <v>0</v>
      </c>
    </row>
    <row r="130" spans="1:42">
      <c r="A130" s="174" t="str">
        <f t="shared" si="1"/>
        <v/>
      </c>
      <c r="Y130" s="179"/>
      <c r="AM130" s="179"/>
      <c r="AP130">
        <f ca="1"/>
        <v>0</v>
      </c>
    </row>
    <row r="131" spans="1:42">
      <c r="A131" s="174" t="str">
        <f t="shared" ref="A131:A181" si="2">IF(B131="","",ROW(A130))</f>
        <v/>
      </c>
      <c r="Y131" s="179"/>
      <c r="AM131" s="179"/>
      <c r="AP131">
        <f ca="1"/>
        <v>0</v>
      </c>
    </row>
    <row r="132" spans="1:42">
      <c r="A132" s="174" t="str">
        <f t="shared" si="2"/>
        <v/>
      </c>
      <c r="Y132" s="179"/>
      <c r="AM132" s="179"/>
      <c r="AP132">
        <f ca="1"/>
        <v>0</v>
      </c>
    </row>
    <row r="133" spans="1:42">
      <c r="A133" s="174" t="str">
        <f t="shared" si="2"/>
        <v/>
      </c>
      <c r="Y133" s="179"/>
      <c r="AM133" s="179"/>
      <c r="AP133">
        <f ca="1"/>
        <v>0</v>
      </c>
    </row>
    <row r="134" spans="1:42">
      <c r="A134" s="174" t="str">
        <f t="shared" si="2"/>
        <v/>
      </c>
      <c r="Y134" s="179"/>
      <c r="AM134" s="179"/>
      <c r="AP134">
        <f ca="1"/>
        <v>0</v>
      </c>
    </row>
    <row r="135" spans="1:42">
      <c r="A135" s="174" t="str">
        <f t="shared" si="2"/>
        <v/>
      </c>
      <c r="Y135" s="179"/>
      <c r="AM135" s="179"/>
      <c r="AP135">
        <f ca="1"/>
        <v>0</v>
      </c>
    </row>
    <row r="136" spans="1:42">
      <c r="A136" s="174" t="str">
        <f t="shared" si="2"/>
        <v/>
      </c>
      <c r="Y136" s="179"/>
      <c r="AM136" s="179"/>
      <c r="AP136">
        <f ca="1"/>
        <v>0</v>
      </c>
    </row>
    <row r="137" spans="1:42">
      <c r="A137" s="174" t="str">
        <f t="shared" si="2"/>
        <v/>
      </c>
      <c r="Y137" s="179"/>
      <c r="AM137" s="179"/>
      <c r="AP137">
        <f ca="1"/>
        <v>0</v>
      </c>
    </row>
    <row r="138" spans="1:42">
      <c r="A138" s="174" t="str">
        <f t="shared" si="2"/>
        <v/>
      </c>
      <c r="Y138" s="179"/>
      <c r="AM138" s="179"/>
      <c r="AP138">
        <f ca="1"/>
        <v>0</v>
      </c>
    </row>
    <row r="139" spans="1:42">
      <c r="A139" s="174" t="str">
        <f t="shared" si="2"/>
        <v/>
      </c>
      <c r="Y139" s="179"/>
      <c r="AM139" s="179"/>
      <c r="AP139">
        <f ca="1"/>
        <v>0</v>
      </c>
    </row>
    <row r="140" spans="1:42">
      <c r="A140" s="174" t="str">
        <f t="shared" si="2"/>
        <v/>
      </c>
      <c r="Y140" s="179"/>
      <c r="AM140" s="179"/>
      <c r="AP140">
        <f ca="1"/>
        <v>0</v>
      </c>
    </row>
    <row r="141" spans="1:42">
      <c r="A141" s="174" t="str">
        <f t="shared" si="2"/>
        <v/>
      </c>
      <c r="Y141" s="179"/>
      <c r="AM141" s="179"/>
      <c r="AP141">
        <f ca="1"/>
        <v>0</v>
      </c>
    </row>
    <row r="142" spans="1:42">
      <c r="A142" s="174" t="str">
        <f t="shared" si="2"/>
        <v/>
      </c>
      <c r="Y142" s="179"/>
      <c r="AM142" s="179"/>
      <c r="AP142">
        <f ca="1"/>
        <v>0</v>
      </c>
    </row>
    <row r="143" spans="1:42">
      <c r="A143" s="174" t="str">
        <f t="shared" si="2"/>
        <v/>
      </c>
      <c r="Y143" s="179"/>
      <c r="AM143" s="179"/>
      <c r="AP143">
        <f ca="1"/>
        <v>0</v>
      </c>
    </row>
    <row r="144" spans="1:42">
      <c r="A144" s="174" t="str">
        <f t="shared" si="2"/>
        <v/>
      </c>
      <c r="Y144" s="179"/>
      <c r="AM144" s="179"/>
      <c r="AP144">
        <f ca="1"/>
        <v>0</v>
      </c>
    </row>
    <row r="145" spans="1:42">
      <c r="A145" s="174" t="str">
        <f t="shared" si="2"/>
        <v/>
      </c>
      <c r="Y145" s="179"/>
      <c r="AM145" s="179"/>
      <c r="AP145">
        <f ca="1"/>
        <v>0</v>
      </c>
    </row>
    <row r="146" spans="1:42">
      <c r="A146" s="174" t="str">
        <f t="shared" si="2"/>
        <v/>
      </c>
      <c r="Y146" s="179"/>
      <c r="AM146" s="179"/>
      <c r="AP146">
        <f ca="1"/>
        <v>0</v>
      </c>
    </row>
    <row r="147" spans="1:42">
      <c r="A147" s="174" t="str">
        <f t="shared" si="2"/>
        <v/>
      </c>
      <c r="Y147" s="179"/>
      <c r="AM147" s="179"/>
      <c r="AP147">
        <f ca="1"/>
        <v>0</v>
      </c>
    </row>
    <row r="148" spans="1:42">
      <c r="A148" s="174" t="str">
        <f t="shared" si="2"/>
        <v/>
      </c>
      <c r="Y148" s="179"/>
      <c r="AM148" s="179"/>
      <c r="AP148">
        <f ca="1"/>
        <v>0</v>
      </c>
    </row>
    <row r="149" spans="1:42">
      <c r="A149" s="174" t="str">
        <f t="shared" si="2"/>
        <v/>
      </c>
      <c r="Y149" s="179"/>
      <c r="AM149" s="179"/>
      <c r="AP149">
        <f ca="1"/>
        <v>0</v>
      </c>
    </row>
    <row r="150" spans="1:42">
      <c r="A150" s="174" t="str">
        <f t="shared" si="2"/>
        <v/>
      </c>
      <c r="Y150" s="179"/>
      <c r="AM150" s="179"/>
      <c r="AP150">
        <f ca="1"/>
        <v>0</v>
      </c>
    </row>
    <row r="151" spans="1:42">
      <c r="A151" s="174" t="str">
        <f t="shared" si="2"/>
        <v/>
      </c>
      <c r="Y151" s="179"/>
      <c r="AM151" s="179"/>
      <c r="AP151">
        <f ca="1"/>
        <v>0</v>
      </c>
    </row>
    <row r="152" spans="1:42">
      <c r="A152" s="174" t="str">
        <f t="shared" si="2"/>
        <v/>
      </c>
      <c r="Y152" s="179"/>
      <c r="AM152" s="179"/>
      <c r="AP152">
        <f ca="1"/>
        <v>0</v>
      </c>
    </row>
    <row r="153" spans="1:42">
      <c r="A153" s="174" t="str">
        <f t="shared" si="2"/>
        <v/>
      </c>
      <c r="Y153" s="179"/>
      <c r="AM153" s="179"/>
      <c r="AP153">
        <f ca="1"/>
        <v>0</v>
      </c>
    </row>
    <row r="154" spans="1:42">
      <c r="A154" s="174" t="str">
        <f t="shared" si="2"/>
        <v/>
      </c>
      <c r="Y154" s="179"/>
      <c r="AM154" s="179"/>
      <c r="AP154">
        <f ca="1"/>
        <v>0</v>
      </c>
    </row>
    <row r="155" spans="1:42">
      <c r="A155" s="174" t="str">
        <f t="shared" si="2"/>
        <v/>
      </c>
      <c r="Y155" s="179"/>
      <c r="AM155" s="179"/>
      <c r="AP155">
        <f ca="1"/>
        <v>0</v>
      </c>
    </row>
    <row r="156" spans="1:42">
      <c r="A156" s="174" t="str">
        <f t="shared" si="2"/>
        <v/>
      </c>
      <c r="Y156" s="179"/>
      <c r="AM156" s="179"/>
      <c r="AP156">
        <f ca="1"/>
        <v>0</v>
      </c>
    </row>
    <row r="157" spans="1:42">
      <c r="A157" s="174" t="str">
        <f t="shared" si="2"/>
        <v/>
      </c>
      <c r="Y157" s="179"/>
      <c r="AM157" s="179"/>
      <c r="AP157">
        <f ca="1"/>
        <v>0</v>
      </c>
    </row>
    <row r="158" spans="1:42">
      <c r="A158" s="174" t="str">
        <f t="shared" si="2"/>
        <v/>
      </c>
      <c r="Y158" s="179"/>
      <c r="AM158" s="179"/>
      <c r="AP158">
        <f ca="1"/>
        <v>0</v>
      </c>
    </row>
    <row r="159" spans="1:42">
      <c r="A159" s="174" t="str">
        <f t="shared" si="2"/>
        <v/>
      </c>
      <c r="Y159" s="179"/>
      <c r="AM159" s="179"/>
      <c r="AP159">
        <f ca="1"/>
        <v>0</v>
      </c>
    </row>
    <row r="160" spans="1:42">
      <c r="A160" s="174" t="str">
        <f t="shared" si="2"/>
        <v/>
      </c>
      <c r="Y160" s="179"/>
      <c r="AM160" s="179"/>
      <c r="AP160">
        <f ca="1"/>
        <v>0</v>
      </c>
    </row>
    <row r="161" spans="1:42">
      <c r="A161" s="174" t="str">
        <f t="shared" si="2"/>
        <v/>
      </c>
      <c r="Y161" s="179"/>
      <c r="AM161" s="179"/>
      <c r="AP161">
        <f ca="1"/>
        <v>0</v>
      </c>
    </row>
    <row r="162" spans="1:42">
      <c r="A162" s="174" t="str">
        <f t="shared" si="2"/>
        <v/>
      </c>
      <c r="Y162" s="179"/>
      <c r="AM162" s="179"/>
      <c r="AP162">
        <f ca="1"/>
        <v>0</v>
      </c>
    </row>
    <row r="163" spans="1:42">
      <c r="A163" s="174" t="str">
        <f t="shared" si="2"/>
        <v/>
      </c>
      <c r="Y163" s="179"/>
      <c r="AM163" s="179"/>
      <c r="AP163">
        <f ca="1"/>
        <v>0</v>
      </c>
    </row>
    <row r="164" spans="1:42">
      <c r="A164" s="174" t="str">
        <f t="shared" si="2"/>
        <v/>
      </c>
      <c r="Y164" s="179"/>
      <c r="AM164" s="179"/>
      <c r="AP164">
        <f ca="1"/>
        <v>0</v>
      </c>
    </row>
    <row r="165" spans="1:42">
      <c r="A165" s="174" t="str">
        <f t="shared" si="2"/>
        <v/>
      </c>
      <c r="Y165" s="179"/>
      <c r="AM165" s="179"/>
      <c r="AP165">
        <f ca="1"/>
        <v>0</v>
      </c>
    </row>
    <row r="166" spans="1:42">
      <c r="A166" s="174" t="str">
        <f t="shared" si="2"/>
        <v/>
      </c>
      <c r="Y166" s="179"/>
      <c r="AM166" s="179"/>
      <c r="AP166">
        <f ca="1"/>
        <v>0</v>
      </c>
    </row>
    <row r="167" spans="1:42">
      <c r="A167" s="174" t="str">
        <f t="shared" si="2"/>
        <v/>
      </c>
      <c r="Y167" s="179"/>
      <c r="AM167" s="179"/>
      <c r="AP167">
        <f ca="1"/>
        <v>0</v>
      </c>
    </row>
    <row r="168" spans="1:42">
      <c r="A168" s="174" t="str">
        <f t="shared" si="2"/>
        <v/>
      </c>
      <c r="Y168" s="179"/>
      <c r="AM168" s="179"/>
      <c r="AP168">
        <f ca="1"/>
        <v>0</v>
      </c>
    </row>
    <row r="169" spans="1:42">
      <c r="A169" s="174" t="str">
        <f t="shared" si="2"/>
        <v/>
      </c>
      <c r="Y169" s="179"/>
      <c r="AM169" s="179"/>
      <c r="AP169">
        <f ca="1"/>
        <v>0</v>
      </c>
    </row>
    <row r="170" spans="1:42">
      <c r="A170" s="174" t="str">
        <f t="shared" si="2"/>
        <v/>
      </c>
      <c r="Y170" s="179"/>
      <c r="AM170" s="179"/>
      <c r="AP170">
        <f ca="1"/>
        <v>0</v>
      </c>
    </row>
    <row r="171" spans="1:42">
      <c r="A171" s="174" t="str">
        <f t="shared" si="2"/>
        <v/>
      </c>
      <c r="Y171" s="179"/>
      <c r="AM171" s="179"/>
      <c r="AP171">
        <f ca="1"/>
        <v>0</v>
      </c>
    </row>
    <row r="172" spans="1:42">
      <c r="A172" s="174" t="str">
        <f t="shared" si="2"/>
        <v/>
      </c>
      <c r="Y172" s="179"/>
      <c r="AM172" s="179"/>
      <c r="AP172">
        <f ca="1"/>
        <v>0</v>
      </c>
    </row>
    <row r="173" spans="1:42">
      <c r="A173" s="174" t="str">
        <f t="shared" si="2"/>
        <v/>
      </c>
      <c r="Y173" s="179"/>
      <c r="AM173" s="179"/>
      <c r="AP173">
        <f ca="1"/>
        <v>0</v>
      </c>
    </row>
    <row r="174" spans="1:42">
      <c r="A174" s="174" t="str">
        <f t="shared" si="2"/>
        <v/>
      </c>
      <c r="Y174" s="179"/>
      <c r="AM174" s="179"/>
      <c r="AP174">
        <f ca="1"/>
        <v>0</v>
      </c>
    </row>
    <row r="175" spans="1:42">
      <c r="A175" s="174" t="str">
        <f t="shared" si="2"/>
        <v/>
      </c>
      <c r="Y175" s="179"/>
      <c r="AM175" s="179"/>
      <c r="AP175">
        <f ca="1"/>
        <v>0</v>
      </c>
    </row>
    <row r="176" spans="1:42">
      <c r="A176" s="174" t="str">
        <f t="shared" si="2"/>
        <v/>
      </c>
      <c r="Y176" s="179"/>
      <c r="AM176" s="179"/>
      <c r="AP176">
        <f ca="1"/>
        <v>0</v>
      </c>
    </row>
    <row r="177" spans="1:42">
      <c r="A177" s="174" t="str">
        <f t="shared" si="2"/>
        <v/>
      </c>
      <c r="Y177" s="179"/>
      <c r="AM177" s="179"/>
      <c r="AP177">
        <f ca="1"/>
        <v>0</v>
      </c>
    </row>
    <row r="178" spans="1:42">
      <c r="A178" s="174" t="str">
        <f t="shared" si="2"/>
        <v/>
      </c>
      <c r="Y178" s="179"/>
      <c r="AM178" s="179"/>
      <c r="AP178">
        <f ca="1"/>
        <v>0</v>
      </c>
    </row>
    <row r="179" spans="1:42">
      <c r="A179" s="174" t="str">
        <f t="shared" si="2"/>
        <v/>
      </c>
      <c r="Y179" s="179"/>
      <c r="AM179" s="179"/>
      <c r="AP179">
        <f ca="1"/>
        <v>0</v>
      </c>
    </row>
    <row r="180" spans="1:42">
      <c r="A180" s="174" t="str">
        <f t="shared" si="2"/>
        <v/>
      </c>
      <c r="Y180" s="179"/>
      <c r="AM180" s="179"/>
      <c r="AP180">
        <f ca="1"/>
        <v>0</v>
      </c>
    </row>
    <row r="181" spans="1:42">
      <c r="A181" s="174" t="str">
        <f t="shared" si="2"/>
        <v/>
      </c>
      <c r="Y181" s="179"/>
      <c r="AM181" s="179"/>
      <c r="AP181">
        <f ca="1"/>
        <v>0</v>
      </c>
    </row>
    <row r="182" spans="1:42">
      <c r="A182" s="174"/>
      <c r="Y182" s="179"/>
      <c r="AM182" s="179"/>
      <c r="AP182">
        <f ca="1"/>
        <v>0</v>
      </c>
    </row>
    <row r="183" spans="1:42">
      <c r="Y183" s="179"/>
      <c r="AM183" s="179"/>
      <c r="AP183">
        <f ca="1"/>
        <v>0</v>
      </c>
    </row>
    <row r="184" spans="1:42">
      <c r="AP184">
        <f ca="1"/>
        <v>0</v>
      </c>
    </row>
    <row r="185" spans="1:42">
      <c r="AP185">
        <f ca="1"/>
        <v>0</v>
      </c>
    </row>
    <row r="186" spans="1:42">
      <c r="AP186">
        <f ca="1"/>
        <v>0</v>
      </c>
    </row>
    <row r="187" spans="1:42">
      <c r="AP187">
        <f ca="1"/>
        <v>0</v>
      </c>
    </row>
    <row r="188" spans="1:42">
      <c r="AP188">
        <f ca="1"/>
        <v>0</v>
      </c>
    </row>
    <row r="189" spans="1:42">
      <c r="AP189">
        <f ca="1"/>
        <v>0</v>
      </c>
    </row>
    <row r="190" spans="1:42">
      <c r="AP190">
        <f ca="1"/>
        <v>0</v>
      </c>
    </row>
    <row r="191" spans="1:42">
      <c r="AP191">
        <f ca="1"/>
        <v>0</v>
      </c>
    </row>
    <row r="192" spans="1:42">
      <c r="AP192">
        <f ca="1"/>
        <v>0</v>
      </c>
    </row>
    <row r="193" spans="42:42">
      <c r="AP193">
        <f ca="1"/>
        <v>0</v>
      </c>
    </row>
    <row r="194" spans="42:42">
      <c r="AP194">
        <f ca="1"/>
        <v>0</v>
      </c>
    </row>
    <row r="195" spans="42:42">
      <c r="AP195">
        <f ca="1"/>
        <v>0</v>
      </c>
    </row>
    <row r="196" spans="42:42">
      <c r="AP196">
        <f ca="1"/>
        <v>0</v>
      </c>
    </row>
    <row r="197" spans="42:42">
      <c r="AP197">
        <f ca="1"/>
        <v>0</v>
      </c>
    </row>
    <row r="198" spans="42:42">
      <c r="AP198">
        <f ca="1"/>
        <v>0</v>
      </c>
    </row>
    <row r="199" spans="42:42">
      <c r="AP199">
        <f ca="1"/>
        <v>0</v>
      </c>
    </row>
    <row r="200" spans="42:42">
      <c r="AP200">
        <f ca="1"/>
        <v>0</v>
      </c>
    </row>
    <row r="201" spans="42:42">
      <c r="AP201">
        <f ca="1"/>
        <v>0</v>
      </c>
    </row>
    <row r="202" spans="42:42">
      <c r="AP202">
        <f ca="1"/>
        <v>0</v>
      </c>
    </row>
    <row r="203" spans="42:42">
      <c r="AP203">
        <f ca="1"/>
        <v>0</v>
      </c>
    </row>
    <row r="204" spans="42:42">
      <c r="AP204">
        <f ca="1"/>
        <v>0</v>
      </c>
    </row>
    <row r="205" spans="42:42">
      <c r="AP205">
        <f ca="1"/>
        <v>0</v>
      </c>
    </row>
    <row r="206" spans="42:42">
      <c r="AP206">
        <f ca="1"/>
        <v>0</v>
      </c>
    </row>
    <row r="207" spans="42:42">
      <c r="AP207">
        <f ca="1"/>
        <v>0</v>
      </c>
    </row>
    <row r="208" spans="42:42">
      <c r="AP208">
        <f ca="1"/>
        <v>0</v>
      </c>
    </row>
    <row r="209" spans="42:42">
      <c r="AP209">
        <f ca="1"/>
        <v>0</v>
      </c>
    </row>
    <row r="210" spans="42:42">
      <c r="AP210">
        <f ca="1"/>
        <v>0</v>
      </c>
    </row>
    <row r="211" spans="42:42">
      <c r="AP211">
        <f ca="1"/>
        <v>0</v>
      </c>
    </row>
    <row r="212" spans="42:42">
      <c r="AP212">
        <f ca="1"/>
        <v>0</v>
      </c>
    </row>
    <row r="213" spans="42:42">
      <c r="AP213">
        <f ca="1"/>
        <v>0</v>
      </c>
    </row>
    <row r="214" spans="42:42">
      <c r="AP214">
        <f ca="1"/>
        <v>0</v>
      </c>
    </row>
    <row r="215" spans="42:42">
      <c r="AP215">
        <f ca="1"/>
        <v>0</v>
      </c>
    </row>
    <row r="216" spans="42:42">
      <c r="AP216">
        <f ca="1"/>
        <v>0</v>
      </c>
    </row>
    <row r="217" spans="42:42">
      <c r="AP217">
        <f ca="1"/>
        <v>0</v>
      </c>
    </row>
    <row r="218" spans="42:42">
      <c r="AP218">
        <f ca="1"/>
        <v>0</v>
      </c>
    </row>
    <row r="219" spans="42:42">
      <c r="AP219">
        <f ca="1"/>
        <v>0</v>
      </c>
    </row>
    <row r="220" spans="42:42">
      <c r="AP220">
        <f ca="1"/>
        <v>0</v>
      </c>
    </row>
    <row r="221" spans="42:42">
      <c r="AP221">
        <f ca="1"/>
        <v>0</v>
      </c>
    </row>
    <row r="222" spans="42:42">
      <c r="AP222">
        <f ca="1"/>
        <v>0</v>
      </c>
    </row>
    <row r="223" spans="42:42">
      <c r="AP223">
        <f ca="1"/>
        <v>0</v>
      </c>
    </row>
    <row r="224" spans="42:42">
      <c r="AP224">
        <f ca="1"/>
        <v>0</v>
      </c>
    </row>
    <row r="225" spans="42:42">
      <c r="AP225">
        <f ca="1"/>
        <v>0</v>
      </c>
    </row>
    <row r="226" spans="42:42">
      <c r="AP226">
        <f ca="1"/>
        <v>0</v>
      </c>
    </row>
    <row r="227" spans="42:42">
      <c r="AP227">
        <f ca="1"/>
        <v>0</v>
      </c>
    </row>
    <row r="228" spans="42:42">
      <c r="AP228">
        <f ca="1"/>
        <v>0</v>
      </c>
    </row>
    <row r="229" spans="42:42">
      <c r="AP229">
        <f ca="1"/>
        <v>0</v>
      </c>
    </row>
    <row r="230" spans="42:42">
      <c r="AP230">
        <f ca="1"/>
        <v>0</v>
      </c>
    </row>
    <row r="231" spans="42:42">
      <c r="AP231">
        <f ca="1"/>
        <v>0</v>
      </c>
    </row>
    <row r="232" spans="42:42">
      <c r="AP232">
        <f ca="1"/>
        <v>0</v>
      </c>
    </row>
    <row r="233" spans="42:42">
      <c r="AP233">
        <f ca="1"/>
        <v>0</v>
      </c>
    </row>
    <row r="234" spans="42:42">
      <c r="AP234">
        <f ca="1"/>
        <v>0</v>
      </c>
    </row>
    <row r="235" spans="42:42">
      <c r="AP235">
        <f ca="1"/>
        <v>0</v>
      </c>
    </row>
    <row r="236" spans="42:42">
      <c r="AP236">
        <f ca="1"/>
        <v>0</v>
      </c>
    </row>
    <row r="237" spans="42:42">
      <c r="AP237">
        <f ca="1"/>
        <v>0</v>
      </c>
    </row>
    <row r="238" spans="42:42">
      <c r="AP238">
        <f ca="1"/>
        <v>0</v>
      </c>
    </row>
    <row r="239" spans="42:42">
      <c r="AP239">
        <f ca="1"/>
        <v>0</v>
      </c>
    </row>
    <row r="240" spans="42:42">
      <c r="AP240">
        <f ca="1"/>
        <v>0</v>
      </c>
    </row>
    <row r="241" spans="42:42">
      <c r="AP241">
        <f ca="1"/>
        <v>0</v>
      </c>
    </row>
    <row r="242" spans="42:42">
      <c r="AP242">
        <f ca="1"/>
        <v>0</v>
      </c>
    </row>
    <row r="243" spans="42:42">
      <c r="AP243">
        <f ca="1"/>
        <v>0</v>
      </c>
    </row>
    <row r="244" spans="42:42">
      <c r="AP244">
        <f ca="1"/>
        <v>0</v>
      </c>
    </row>
    <row r="245" spans="42:42">
      <c r="AP245">
        <f ca="1"/>
        <v>0</v>
      </c>
    </row>
    <row r="246" spans="42:42">
      <c r="AP246">
        <f ca="1"/>
        <v>0</v>
      </c>
    </row>
    <row r="247" spans="42:42">
      <c r="AP247">
        <f ca="1"/>
        <v>0</v>
      </c>
    </row>
    <row r="248" spans="42:42">
      <c r="AP248">
        <f ca="1"/>
        <v>0</v>
      </c>
    </row>
    <row r="249" spans="42:42">
      <c r="AP249">
        <f ca="1"/>
        <v>0</v>
      </c>
    </row>
    <row r="250" spans="42:42">
      <c r="AP250">
        <f ca="1"/>
        <v>0</v>
      </c>
    </row>
    <row r="251" spans="42:42">
      <c r="AP251">
        <f ca="1"/>
        <v>0</v>
      </c>
    </row>
    <row r="252" spans="42:42">
      <c r="AP252">
        <f ca="1"/>
        <v>0</v>
      </c>
    </row>
    <row r="253" spans="42:42">
      <c r="AP253">
        <f ca="1"/>
        <v>0</v>
      </c>
    </row>
    <row r="254" spans="42:42">
      <c r="AP254">
        <f ca="1"/>
        <v>0</v>
      </c>
    </row>
    <row r="255" spans="42:42">
      <c r="AP255">
        <f ca="1"/>
        <v>0</v>
      </c>
    </row>
    <row r="256" spans="42:42">
      <c r="AP256">
        <f ca="1"/>
        <v>0</v>
      </c>
    </row>
    <row r="257" spans="42:42">
      <c r="AP257">
        <f ca="1"/>
        <v>0</v>
      </c>
    </row>
    <row r="258" spans="42:42">
      <c r="AP258">
        <f ca="1"/>
        <v>0</v>
      </c>
    </row>
    <row r="259" spans="42:42">
      <c r="AP259">
        <f ca="1"/>
        <v>0</v>
      </c>
    </row>
    <row r="260" spans="42:42">
      <c r="AP260">
        <f ca="1"/>
        <v>0</v>
      </c>
    </row>
    <row r="261" spans="42:42">
      <c r="AP261">
        <f ca="1"/>
        <v>0</v>
      </c>
    </row>
    <row r="262" spans="42:42">
      <c r="AP262">
        <f ca="1"/>
        <v>0</v>
      </c>
    </row>
    <row r="263" spans="42:42">
      <c r="AP263">
        <f ca="1"/>
        <v>0</v>
      </c>
    </row>
    <row r="264" spans="42:42">
      <c r="AP264">
        <f ca="1"/>
        <v>0</v>
      </c>
    </row>
    <row r="265" spans="42:42">
      <c r="AP265">
        <f ca="1"/>
        <v>0</v>
      </c>
    </row>
    <row r="266" spans="42:42">
      <c r="AP266">
        <f ca="1"/>
        <v>0</v>
      </c>
    </row>
    <row r="267" spans="42:42">
      <c r="AP267">
        <f ca="1"/>
        <v>0</v>
      </c>
    </row>
    <row r="268" spans="42:42">
      <c r="AP268">
        <f ca="1"/>
        <v>0</v>
      </c>
    </row>
    <row r="269" spans="42:42">
      <c r="AP269">
        <f ca="1"/>
        <v>0</v>
      </c>
    </row>
    <row r="270" spans="42:42">
      <c r="AP270">
        <f ca="1"/>
        <v>0</v>
      </c>
    </row>
    <row r="271" spans="42:42">
      <c r="AP271">
        <f ca="1"/>
        <v>0</v>
      </c>
    </row>
    <row r="272" spans="42:42">
      <c r="AP272">
        <f ca="1"/>
        <v>0</v>
      </c>
    </row>
    <row r="273" spans="42:42">
      <c r="AP273">
        <f ca="1"/>
        <v>0</v>
      </c>
    </row>
    <row r="274" spans="42:42">
      <c r="AP274">
        <f ca="1"/>
        <v>0</v>
      </c>
    </row>
    <row r="275" spans="42:42">
      <c r="AP275">
        <f ca="1"/>
        <v>0</v>
      </c>
    </row>
    <row r="276" spans="42:42">
      <c r="AP276">
        <f ca="1"/>
        <v>0</v>
      </c>
    </row>
    <row r="277" spans="42:42">
      <c r="AP277">
        <f ca="1"/>
        <v>0</v>
      </c>
    </row>
    <row r="278" spans="42:42">
      <c r="AP278">
        <f ca="1"/>
        <v>0</v>
      </c>
    </row>
    <row r="279" spans="42:42">
      <c r="AP279">
        <f ca="1"/>
        <v>0</v>
      </c>
    </row>
    <row r="280" spans="42:42">
      <c r="AP280">
        <f ca="1"/>
        <v>0</v>
      </c>
    </row>
    <row r="281" spans="42:42">
      <c r="AP281">
        <f ca="1"/>
        <v>0</v>
      </c>
    </row>
    <row r="282" spans="42:42">
      <c r="AP282">
        <f ca="1"/>
        <v>0</v>
      </c>
    </row>
    <row r="283" spans="42:42">
      <c r="AP283">
        <f ca="1"/>
        <v>0</v>
      </c>
    </row>
    <row r="284" spans="42:42">
      <c r="AP284">
        <f ca="1"/>
        <v>0</v>
      </c>
    </row>
    <row r="285" spans="42:42">
      <c r="AP285">
        <f ca="1"/>
        <v>0</v>
      </c>
    </row>
    <row r="286" spans="42:42">
      <c r="AP286">
        <f ca="1"/>
        <v>0</v>
      </c>
    </row>
    <row r="287" spans="42:42">
      <c r="AP287">
        <f ca="1"/>
        <v>0</v>
      </c>
    </row>
    <row r="288" spans="42:42">
      <c r="AP288">
        <f ca="1"/>
        <v>0</v>
      </c>
    </row>
    <row r="289" spans="42:42">
      <c r="AP289">
        <f ca="1"/>
        <v>0</v>
      </c>
    </row>
    <row r="290" spans="42:42">
      <c r="AP290">
        <f ca="1"/>
        <v>0</v>
      </c>
    </row>
    <row r="291" spans="42:42">
      <c r="AP291">
        <f ca="1"/>
        <v>0</v>
      </c>
    </row>
    <row r="292" spans="42:42">
      <c r="AP292">
        <f ca="1"/>
        <v>0</v>
      </c>
    </row>
    <row r="293" spans="42:42">
      <c r="AP293">
        <f ca="1"/>
        <v>0</v>
      </c>
    </row>
    <row r="294" spans="42:42">
      <c r="AP294">
        <f ca="1"/>
        <v>0</v>
      </c>
    </row>
    <row r="295" spans="42:42">
      <c r="AP295">
        <f ca="1"/>
        <v>0</v>
      </c>
    </row>
    <row r="296" spans="42:42">
      <c r="AP296">
        <f ca="1"/>
        <v>0</v>
      </c>
    </row>
    <row r="297" spans="42:42">
      <c r="AP297">
        <f ca="1"/>
        <v>0</v>
      </c>
    </row>
    <row r="298" spans="42:42">
      <c r="AP298">
        <f ca="1"/>
        <v>0</v>
      </c>
    </row>
    <row r="299" spans="42:42">
      <c r="AP299">
        <f ca="1"/>
        <v>0</v>
      </c>
    </row>
    <row r="300" spans="42:42">
      <c r="AP300">
        <f ca="1"/>
        <v>0</v>
      </c>
    </row>
    <row r="301" spans="42:42">
      <c r="AP301">
        <f ca="1"/>
        <v>0</v>
      </c>
    </row>
    <row r="302" spans="42:42">
      <c r="AP302">
        <f ca="1"/>
        <v>0</v>
      </c>
    </row>
    <row r="303" spans="42:42">
      <c r="AP303">
        <f ca="1"/>
        <v>0</v>
      </c>
    </row>
    <row r="304" spans="42:42">
      <c r="AP304">
        <f ca="1"/>
        <v>0</v>
      </c>
    </row>
    <row r="305" spans="42:42">
      <c r="AP305">
        <f ca="1"/>
        <v>0</v>
      </c>
    </row>
    <row r="306" spans="42:42">
      <c r="AP306">
        <f ca="1"/>
        <v>0</v>
      </c>
    </row>
    <row r="307" spans="42:42">
      <c r="AP307">
        <f ca="1"/>
        <v>0</v>
      </c>
    </row>
    <row r="308" spans="42:42">
      <c r="AP308">
        <f ca="1"/>
        <v>0</v>
      </c>
    </row>
    <row r="309" spans="42:42">
      <c r="AP309">
        <f ca="1"/>
        <v>0</v>
      </c>
    </row>
    <row r="310" spans="42:42">
      <c r="AP310">
        <f ca="1"/>
        <v>0</v>
      </c>
    </row>
    <row r="311" spans="42:42">
      <c r="AP311">
        <f ca="1"/>
        <v>0</v>
      </c>
    </row>
    <row r="312" spans="42:42">
      <c r="AP312">
        <f ca="1"/>
        <v>0</v>
      </c>
    </row>
    <row r="313" spans="42:42">
      <c r="AP313">
        <f ca="1"/>
        <v>0</v>
      </c>
    </row>
    <row r="314" spans="42:42">
      <c r="AP314">
        <f ca="1"/>
        <v>0</v>
      </c>
    </row>
    <row r="315" spans="42:42">
      <c r="AP315">
        <f ca="1"/>
        <v>0</v>
      </c>
    </row>
    <row r="316" spans="42:42">
      <c r="AP316">
        <f ca="1"/>
        <v>0</v>
      </c>
    </row>
    <row r="317" spans="42:42">
      <c r="AP317">
        <f ca="1"/>
        <v>0</v>
      </c>
    </row>
    <row r="318" spans="42:42">
      <c r="AP318">
        <f ca="1"/>
        <v>0</v>
      </c>
    </row>
    <row r="319" spans="42:42">
      <c r="AP319">
        <f ca="1"/>
        <v>0</v>
      </c>
    </row>
    <row r="320" spans="42:42">
      <c r="AP320">
        <f ca="1"/>
        <v>0</v>
      </c>
    </row>
    <row r="321" spans="42:42">
      <c r="AP321">
        <f ca="1"/>
        <v>0</v>
      </c>
    </row>
    <row r="322" spans="42:42">
      <c r="AP322">
        <f ca="1"/>
        <v>0</v>
      </c>
    </row>
    <row r="323" spans="42:42">
      <c r="AP323">
        <f ca="1"/>
        <v>0</v>
      </c>
    </row>
    <row r="324" spans="42:42">
      <c r="AP324">
        <f ca="1"/>
        <v>0</v>
      </c>
    </row>
    <row r="325" spans="42:42">
      <c r="AP325">
        <f ca="1"/>
        <v>0</v>
      </c>
    </row>
    <row r="326" spans="42:42">
      <c r="AP326">
        <f ca="1"/>
        <v>0</v>
      </c>
    </row>
    <row r="327" spans="42:42">
      <c r="AP327">
        <f ca="1"/>
        <v>0</v>
      </c>
    </row>
    <row r="328" spans="42:42">
      <c r="AP328">
        <f ca="1"/>
        <v>0</v>
      </c>
    </row>
    <row r="329" spans="42:42">
      <c r="AP329">
        <f ca="1"/>
        <v>0</v>
      </c>
    </row>
    <row r="330" spans="42:42">
      <c r="AP330">
        <f ca="1"/>
        <v>0</v>
      </c>
    </row>
    <row r="331" spans="42:42">
      <c r="AP331">
        <f ca="1"/>
        <v>0</v>
      </c>
    </row>
    <row r="332" spans="42:42">
      <c r="AP332">
        <f ca="1"/>
        <v>0</v>
      </c>
    </row>
    <row r="333" spans="42:42">
      <c r="AP333">
        <f ca="1"/>
        <v>0</v>
      </c>
    </row>
    <row r="334" spans="42:42">
      <c r="AP334">
        <f ca="1"/>
        <v>0</v>
      </c>
    </row>
    <row r="335" spans="42:42">
      <c r="AP335">
        <f ca="1"/>
        <v>0</v>
      </c>
    </row>
    <row r="336" spans="42:42">
      <c r="AP336">
        <f ca="1"/>
        <v>0</v>
      </c>
    </row>
    <row r="337" spans="42:42">
      <c r="AP337">
        <f ca="1"/>
        <v>0</v>
      </c>
    </row>
    <row r="338" spans="42:42">
      <c r="AP338">
        <f ca="1"/>
        <v>0</v>
      </c>
    </row>
    <row r="339" spans="42:42">
      <c r="AP339">
        <f ca="1"/>
        <v>0</v>
      </c>
    </row>
    <row r="340" spans="42:42">
      <c r="AP340">
        <f ca="1"/>
        <v>0</v>
      </c>
    </row>
    <row r="341" spans="42:42">
      <c r="AP341">
        <f ca="1"/>
        <v>0</v>
      </c>
    </row>
    <row r="342" spans="42:42">
      <c r="AP342">
        <f ca="1"/>
        <v>0</v>
      </c>
    </row>
    <row r="343" spans="42:42">
      <c r="AP343">
        <f ca="1"/>
        <v>0</v>
      </c>
    </row>
    <row r="344" spans="42:42">
      <c r="AP344">
        <f ca="1"/>
        <v>0</v>
      </c>
    </row>
    <row r="345" spans="42:42">
      <c r="AP345">
        <f ca="1"/>
        <v>0</v>
      </c>
    </row>
    <row r="346" spans="42:42">
      <c r="AP346">
        <f ca="1"/>
        <v>0</v>
      </c>
    </row>
    <row r="347" spans="42:42">
      <c r="AP347">
        <f ca="1"/>
        <v>0</v>
      </c>
    </row>
    <row r="348" spans="42:42">
      <c r="AP348">
        <f ca="1"/>
        <v>0</v>
      </c>
    </row>
    <row r="349" spans="42:42">
      <c r="AP349">
        <f ca="1"/>
        <v>0</v>
      </c>
    </row>
    <row r="350" spans="42:42">
      <c r="AP350">
        <f ca="1"/>
        <v>0</v>
      </c>
    </row>
    <row r="351" spans="42:42">
      <c r="AP351">
        <f ca="1"/>
        <v>0</v>
      </c>
    </row>
    <row r="352" spans="42:42">
      <c r="AP352">
        <f ca="1"/>
        <v>0</v>
      </c>
    </row>
    <row r="353" spans="42:42">
      <c r="AP353">
        <f ca="1"/>
        <v>0</v>
      </c>
    </row>
    <row r="354" spans="42:42">
      <c r="AP354">
        <f ca="1"/>
        <v>0</v>
      </c>
    </row>
    <row r="355" spans="42:42">
      <c r="AP355">
        <f ca="1"/>
        <v>0</v>
      </c>
    </row>
    <row r="356" spans="42:42">
      <c r="AP356">
        <f ca="1"/>
        <v>0</v>
      </c>
    </row>
    <row r="357" spans="42:42">
      <c r="AP357">
        <f ca="1"/>
        <v>0</v>
      </c>
    </row>
    <row r="358" spans="42:42">
      <c r="AP358">
        <f ca="1"/>
        <v>0</v>
      </c>
    </row>
    <row r="359" spans="42:42">
      <c r="AP359">
        <f ca="1"/>
        <v>0</v>
      </c>
    </row>
    <row r="360" spans="42:42">
      <c r="AP360">
        <f ca="1"/>
        <v>0</v>
      </c>
    </row>
    <row r="361" spans="42:42">
      <c r="AP361">
        <f ca="1"/>
        <v>0</v>
      </c>
    </row>
    <row r="362" spans="42:42">
      <c r="AP362">
        <f ca="1"/>
        <v>0</v>
      </c>
    </row>
    <row r="363" spans="42:42">
      <c r="AP363">
        <f ca="1"/>
        <v>0</v>
      </c>
    </row>
    <row r="364" spans="42:42">
      <c r="AP364">
        <f ca="1"/>
        <v>0</v>
      </c>
    </row>
    <row r="365" spans="42:42">
      <c r="AP365">
        <f ca="1"/>
        <v>0</v>
      </c>
    </row>
    <row r="366" spans="42:42">
      <c r="AP366">
        <f ca="1"/>
        <v>0</v>
      </c>
    </row>
    <row r="367" spans="42:42">
      <c r="AP367">
        <f ca="1"/>
        <v>0</v>
      </c>
    </row>
    <row r="368" spans="42:42">
      <c r="AP368">
        <f ca="1"/>
        <v>0</v>
      </c>
    </row>
    <row r="369" spans="42:42">
      <c r="AP369">
        <f ca="1"/>
        <v>0</v>
      </c>
    </row>
    <row r="370" spans="42:42">
      <c r="AP370">
        <f ca="1"/>
        <v>0</v>
      </c>
    </row>
    <row r="371" spans="42:42">
      <c r="AP371">
        <f ca="1"/>
        <v>0</v>
      </c>
    </row>
    <row r="372" spans="42:42">
      <c r="AP372">
        <f ca="1"/>
        <v>0</v>
      </c>
    </row>
    <row r="373" spans="42:42">
      <c r="AP373">
        <f ca="1"/>
        <v>0</v>
      </c>
    </row>
    <row r="374" spans="42:42">
      <c r="AP374">
        <f ca="1"/>
        <v>0</v>
      </c>
    </row>
    <row r="375" spans="42:42">
      <c r="AP375">
        <f ca="1"/>
        <v>0</v>
      </c>
    </row>
    <row r="376" spans="42:42">
      <c r="AP376">
        <f ca="1"/>
        <v>0</v>
      </c>
    </row>
    <row r="377" spans="42:42">
      <c r="AP377">
        <f ca="1"/>
        <v>0</v>
      </c>
    </row>
    <row r="378" spans="42:42">
      <c r="AP378">
        <f ca="1"/>
        <v>0</v>
      </c>
    </row>
    <row r="379" spans="42:42">
      <c r="AP379">
        <f ca="1"/>
        <v>0</v>
      </c>
    </row>
    <row r="380" spans="42:42">
      <c r="AP380">
        <f ca="1"/>
        <v>0</v>
      </c>
    </row>
    <row r="381" spans="42:42">
      <c r="AP381">
        <f ca="1"/>
        <v>0</v>
      </c>
    </row>
    <row r="382" spans="42:42">
      <c r="AP382">
        <f ca="1"/>
        <v>0</v>
      </c>
    </row>
    <row r="383" spans="42:42">
      <c r="AP383">
        <f ca="1"/>
        <v>0</v>
      </c>
    </row>
    <row r="384" spans="42:42">
      <c r="AP384">
        <f ca="1"/>
        <v>0</v>
      </c>
    </row>
    <row r="385" spans="42:42">
      <c r="AP385">
        <f ca="1"/>
        <v>0</v>
      </c>
    </row>
    <row r="386" spans="42:42">
      <c r="AP386">
        <f ca="1"/>
        <v>0</v>
      </c>
    </row>
    <row r="387" spans="42:42">
      <c r="AP387">
        <f ca="1"/>
        <v>0</v>
      </c>
    </row>
    <row r="388" spans="42:42">
      <c r="AP388">
        <f ca="1"/>
        <v>0</v>
      </c>
    </row>
    <row r="389" spans="42:42">
      <c r="AP389">
        <f ca="1"/>
        <v>0</v>
      </c>
    </row>
    <row r="390" spans="42:42">
      <c r="AP390">
        <f ca="1"/>
        <v>0</v>
      </c>
    </row>
    <row r="391" spans="42:42">
      <c r="AP391">
        <f ca="1"/>
        <v>0</v>
      </c>
    </row>
    <row r="392" spans="42:42">
      <c r="AP392">
        <f ca="1"/>
        <v>0</v>
      </c>
    </row>
    <row r="393" spans="42:42">
      <c r="AP393">
        <f ca="1"/>
        <v>0</v>
      </c>
    </row>
    <row r="394" spans="42:42">
      <c r="AP394">
        <f ca="1"/>
        <v>0</v>
      </c>
    </row>
    <row r="395" spans="42:42">
      <c r="AP395">
        <f ca="1"/>
        <v>0</v>
      </c>
    </row>
    <row r="396" spans="42:42">
      <c r="AP396">
        <f ca="1"/>
        <v>0</v>
      </c>
    </row>
    <row r="397" spans="42:42">
      <c r="AP397">
        <f ca="1"/>
        <v>0</v>
      </c>
    </row>
    <row r="398" spans="42:42">
      <c r="AP398">
        <f ca="1"/>
        <v>0</v>
      </c>
    </row>
    <row r="399" spans="42:42">
      <c r="AP399">
        <f ca="1"/>
        <v>0</v>
      </c>
    </row>
    <row r="400" spans="42:42">
      <c r="AP400">
        <f ca="1"/>
        <v>0</v>
      </c>
    </row>
    <row r="401" spans="42:42">
      <c r="AP401">
        <f ca="1"/>
        <v>0</v>
      </c>
    </row>
    <row r="402" spans="42:42">
      <c r="AP402">
        <f ca="1"/>
        <v>0</v>
      </c>
    </row>
    <row r="403" spans="42:42">
      <c r="AP403">
        <f ca="1"/>
        <v>0</v>
      </c>
    </row>
    <row r="404" spans="42:42">
      <c r="AP404">
        <f ca="1"/>
        <v>0</v>
      </c>
    </row>
    <row r="405" spans="42:42">
      <c r="AP405">
        <f ca="1"/>
        <v>0</v>
      </c>
    </row>
    <row r="406" spans="42:42">
      <c r="AP406">
        <f ca="1"/>
        <v>0</v>
      </c>
    </row>
    <row r="407" spans="42:42">
      <c r="AP407">
        <f ca="1"/>
        <v>0</v>
      </c>
    </row>
    <row r="408" spans="42:42">
      <c r="AP408">
        <f ca="1"/>
        <v>0</v>
      </c>
    </row>
    <row r="409" spans="42:42">
      <c r="AP409">
        <f ca="1"/>
        <v>0</v>
      </c>
    </row>
    <row r="410" spans="42:42">
      <c r="AP410">
        <f ca="1"/>
        <v>0</v>
      </c>
    </row>
    <row r="411" spans="42:42">
      <c r="AP411">
        <f ca="1"/>
        <v>0</v>
      </c>
    </row>
    <row r="412" spans="42:42">
      <c r="AP412">
        <f ca="1"/>
        <v>0</v>
      </c>
    </row>
    <row r="413" spans="42:42">
      <c r="AP413">
        <f ca="1"/>
        <v>0</v>
      </c>
    </row>
    <row r="414" spans="42:42">
      <c r="AP414">
        <f ca="1"/>
        <v>0</v>
      </c>
    </row>
    <row r="415" spans="42:42">
      <c r="AP415">
        <f ca="1"/>
        <v>0</v>
      </c>
    </row>
    <row r="416" spans="42:42">
      <c r="AP416">
        <f ca="1"/>
        <v>0</v>
      </c>
    </row>
    <row r="417" spans="42:42">
      <c r="AP417">
        <f ca="1"/>
        <v>0</v>
      </c>
    </row>
    <row r="418" spans="42:42">
      <c r="AP418">
        <f ca="1"/>
        <v>0</v>
      </c>
    </row>
    <row r="419" spans="42:42">
      <c r="AP419">
        <f ca="1"/>
        <v>0</v>
      </c>
    </row>
    <row r="420" spans="42:42">
      <c r="AP420">
        <f ca="1"/>
        <v>0</v>
      </c>
    </row>
    <row r="421" spans="42:42">
      <c r="AP421">
        <f ca="1"/>
        <v>0</v>
      </c>
    </row>
    <row r="422" spans="42:42">
      <c r="AP422">
        <f ca="1"/>
        <v>0</v>
      </c>
    </row>
    <row r="423" spans="42:42">
      <c r="AP423">
        <f ca="1"/>
        <v>0</v>
      </c>
    </row>
    <row r="424" spans="42:42">
      <c r="AP424">
        <f ca="1"/>
        <v>0</v>
      </c>
    </row>
    <row r="425" spans="42:42">
      <c r="AP425">
        <f ca="1"/>
        <v>0</v>
      </c>
    </row>
    <row r="426" spans="42:42">
      <c r="AP426">
        <f ca="1"/>
        <v>0</v>
      </c>
    </row>
    <row r="427" spans="42:42">
      <c r="AP427">
        <f ca="1"/>
        <v>0</v>
      </c>
    </row>
    <row r="428" spans="42:42">
      <c r="AP428">
        <f ca="1"/>
        <v>0</v>
      </c>
    </row>
    <row r="429" spans="42:42">
      <c r="AP429">
        <f ca="1"/>
        <v>0</v>
      </c>
    </row>
    <row r="430" spans="42:42">
      <c r="AP430">
        <f ca="1"/>
        <v>0</v>
      </c>
    </row>
    <row r="431" spans="42:42">
      <c r="AP431">
        <f ca="1"/>
        <v>0</v>
      </c>
    </row>
    <row r="432" spans="42:42">
      <c r="AP432">
        <f ca="1"/>
        <v>0</v>
      </c>
    </row>
    <row r="433" spans="42:42">
      <c r="AP433">
        <f ca="1"/>
        <v>0</v>
      </c>
    </row>
    <row r="434" spans="42:42">
      <c r="AP434">
        <f ca="1"/>
        <v>0</v>
      </c>
    </row>
    <row r="435" spans="42:42">
      <c r="AP435">
        <f ca="1"/>
        <v>0</v>
      </c>
    </row>
    <row r="436" spans="42:42">
      <c r="AP436">
        <f ca="1"/>
        <v>0</v>
      </c>
    </row>
    <row r="437" spans="42:42">
      <c r="AP437">
        <f ca="1"/>
        <v>0</v>
      </c>
    </row>
    <row r="438" spans="42:42">
      <c r="AP438">
        <f ca="1"/>
        <v>0</v>
      </c>
    </row>
    <row r="439" spans="42:42">
      <c r="AP439">
        <f ca="1"/>
        <v>0</v>
      </c>
    </row>
    <row r="440" spans="42:42">
      <c r="AP440">
        <f ca="1"/>
        <v>0</v>
      </c>
    </row>
    <row r="441" spans="42:42">
      <c r="AP441">
        <f ca="1"/>
        <v>0</v>
      </c>
    </row>
    <row r="442" spans="42:42">
      <c r="AP442">
        <f ca="1"/>
        <v>0</v>
      </c>
    </row>
    <row r="443" spans="42:42">
      <c r="AP443">
        <f ca="1"/>
        <v>0</v>
      </c>
    </row>
    <row r="444" spans="42:42">
      <c r="AP444">
        <f ca="1"/>
        <v>0</v>
      </c>
    </row>
    <row r="445" spans="42:42">
      <c r="AP445">
        <f ca="1"/>
        <v>0</v>
      </c>
    </row>
    <row r="446" spans="42:42">
      <c r="AP446">
        <f ca="1"/>
        <v>0</v>
      </c>
    </row>
    <row r="447" spans="42:42">
      <c r="AP447">
        <f ca="1"/>
        <v>0</v>
      </c>
    </row>
    <row r="448" spans="42:42">
      <c r="AP448">
        <f ca="1"/>
        <v>0</v>
      </c>
    </row>
    <row r="449" spans="42:42">
      <c r="AP449">
        <f ca="1"/>
        <v>0</v>
      </c>
    </row>
    <row r="450" spans="42:42">
      <c r="AP450">
        <f ca="1"/>
        <v>0</v>
      </c>
    </row>
    <row r="451" spans="42:42">
      <c r="AP451">
        <f ca="1"/>
        <v>0</v>
      </c>
    </row>
    <row r="452" spans="42:42">
      <c r="AP452">
        <f ca="1"/>
        <v>0</v>
      </c>
    </row>
    <row r="453" spans="42:42">
      <c r="AP453">
        <f ca="1"/>
        <v>0</v>
      </c>
    </row>
    <row r="454" spans="42:42">
      <c r="AP454">
        <f ca="1"/>
        <v>0</v>
      </c>
    </row>
    <row r="455" spans="42:42">
      <c r="AP455">
        <f ca="1"/>
        <v>0</v>
      </c>
    </row>
    <row r="456" spans="42:42">
      <c r="AP456">
        <f ca="1"/>
        <v>0</v>
      </c>
    </row>
    <row r="457" spans="42:42">
      <c r="AP457">
        <f ca="1"/>
        <v>0</v>
      </c>
    </row>
    <row r="458" spans="42:42">
      <c r="AP458">
        <f ca="1"/>
        <v>0</v>
      </c>
    </row>
    <row r="459" spans="42:42">
      <c r="AP459">
        <f ca="1"/>
        <v>0</v>
      </c>
    </row>
    <row r="460" spans="42:42">
      <c r="AP460">
        <f ca="1"/>
        <v>0</v>
      </c>
    </row>
    <row r="461" spans="42:42">
      <c r="AP461">
        <f ca="1"/>
        <v>0</v>
      </c>
    </row>
    <row r="462" spans="42:42">
      <c r="AP462">
        <f ca="1"/>
        <v>0</v>
      </c>
    </row>
    <row r="463" spans="42:42">
      <c r="AP463">
        <f ca="1"/>
        <v>0</v>
      </c>
    </row>
    <row r="464" spans="42:42">
      <c r="AP464">
        <f ca="1"/>
        <v>0</v>
      </c>
    </row>
    <row r="465" spans="42:42">
      <c r="AP465">
        <f ca="1"/>
        <v>0</v>
      </c>
    </row>
    <row r="466" spans="42:42">
      <c r="AP466">
        <f ca="1"/>
        <v>0</v>
      </c>
    </row>
    <row r="467" spans="42:42">
      <c r="AP467">
        <f ca="1"/>
        <v>0</v>
      </c>
    </row>
    <row r="468" spans="42:42">
      <c r="AP468">
        <f ca="1"/>
        <v>0</v>
      </c>
    </row>
    <row r="469" spans="42:42">
      <c r="AP469">
        <f ca="1"/>
        <v>0</v>
      </c>
    </row>
    <row r="470" spans="42:42">
      <c r="AP470">
        <f ca="1"/>
        <v>0</v>
      </c>
    </row>
    <row r="471" spans="42:42">
      <c r="AP471">
        <f ca="1"/>
        <v>0</v>
      </c>
    </row>
    <row r="472" spans="42:42">
      <c r="AP472">
        <f ca="1"/>
        <v>0</v>
      </c>
    </row>
    <row r="473" spans="42:42">
      <c r="AP473">
        <f ca="1"/>
        <v>0</v>
      </c>
    </row>
    <row r="474" spans="42:42">
      <c r="AP474">
        <f ca="1"/>
        <v>0</v>
      </c>
    </row>
    <row r="475" spans="42:42">
      <c r="AP475">
        <f ca="1"/>
        <v>0</v>
      </c>
    </row>
    <row r="476" spans="42:42">
      <c r="AP476">
        <f ca="1"/>
        <v>0</v>
      </c>
    </row>
    <row r="477" spans="42:42">
      <c r="AP477">
        <f ca="1"/>
        <v>0</v>
      </c>
    </row>
    <row r="478" spans="42:42">
      <c r="AP478">
        <f ca="1"/>
        <v>0</v>
      </c>
    </row>
    <row r="479" spans="42:42">
      <c r="AP479">
        <f ca="1"/>
        <v>0</v>
      </c>
    </row>
    <row r="480" spans="42:42">
      <c r="AP480">
        <f ca="1"/>
        <v>0</v>
      </c>
    </row>
    <row r="481" spans="42:42">
      <c r="AP481">
        <f ca="1"/>
        <v>0</v>
      </c>
    </row>
    <row r="482" spans="42:42">
      <c r="AP482">
        <f ca="1"/>
        <v>0</v>
      </c>
    </row>
    <row r="483" spans="42:42">
      <c r="AP483">
        <f ca="1"/>
        <v>0</v>
      </c>
    </row>
    <row r="484" spans="42:42">
      <c r="AP484">
        <f ca="1"/>
        <v>0</v>
      </c>
    </row>
    <row r="485" spans="42:42">
      <c r="AP485">
        <f ca="1"/>
        <v>0</v>
      </c>
    </row>
    <row r="486" spans="42:42">
      <c r="AP486">
        <f ca="1"/>
        <v>0</v>
      </c>
    </row>
    <row r="487" spans="42:42">
      <c r="AP487">
        <f ca="1"/>
        <v>0</v>
      </c>
    </row>
    <row r="488" spans="42:42">
      <c r="AP488">
        <f ca="1"/>
        <v>0</v>
      </c>
    </row>
    <row r="489" spans="42:42">
      <c r="AP489">
        <f ca="1"/>
        <v>0</v>
      </c>
    </row>
    <row r="490" spans="42:42">
      <c r="AP490">
        <f ca="1"/>
        <v>0</v>
      </c>
    </row>
    <row r="491" spans="42:42">
      <c r="AP491">
        <f ca="1"/>
        <v>0</v>
      </c>
    </row>
    <row r="492" spans="42:42">
      <c r="AP492">
        <f ca="1"/>
        <v>0</v>
      </c>
    </row>
    <row r="493" spans="42:42">
      <c r="AP493">
        <f ca="1"/>
        <v>0</v>
      </c>
    </row>
    <row r="494" spans="42:42">
      <c r="AP494">
        <f ca="1"/>
        <v>0</v>
      </c>
    </row>
    <row r="495" spans="42:42">
      <c r="AP495">
        <f ca="1"/>
        <v>0</v>
      </c>
    </row>
    <row r="496" spans="42:42">
      <c r="AP496">
        <f ca="1"/>
        <v>0</v>
      </c>
    </row>
    <row r="497" spans="42:42">
      <c r="AP497">
        <f ca="1"/>
        <v>0</v>
      </c>
    </row>
    <row r="498" spans="42:42">
      <c r="AP498">
        <f ca="1"/>
        <v>0</v>
      </c>
    </row>
    <row r="499" spans="42:42">
      <c r="AP499">
        <f ca="1"/>
        <v>0</v>
      </c>
    </row>
    <row r="500" spans="42:42">
      <c r="AP500">
        <f ca="1"/>
        <v>0</v>
      </c>
    </row>
    <row r="501" spans="42:42">
      <c r="AP501">
        <f ca="1"/>
        <v>0</v>
      </c>
    </row>
    <row r="502" spans="42:42">
      <c r="AP502">
        <f ca="1"/>
        <v>0</v>
      </c>
    </row>
    <row r="503" spans="42:42">
      <c r="AP503">
        <f ca="1"/>
        <v>0</v>
      </c>
    </row>
    <row r="504" spans="42:42">
      <c r="AP504">
        <f ca="1"/>
        <v>0</v>
      </c>
    </row>
    <row r="505" spans="42:42">
      <c r="AP505">
        <f ca="1"/>
        <v>0</v>
      </c>
    </row>
    <row r="506" spans="42:42">
      <c r="AP506">
        <f ca="1"/>
        <v>0</v>
      </c>
    </row>
    <row r="507" spans="42:42">
      <c r="AP507">
        <f ca="1"/>
        <v>0</v>
      </c>
    </row>
    <row r="508" spans="42:42">
      <c r="AP508">
        <f ca="1"/>
        <v>0</v>
      </c>
    </row>
    <row r="509" spans="42:42">
      <c r="AP509">
        <f ca="1"/>
        <v>0</v>
      </c>
    </row>
    <row r="510" spans="42:42">
      <c r="AP510">
        <f ca="1"/>
        <v>0</v>
      </c>
    </row>
    <row r="511" spans="42:42">
      <c r="AP511">
        <f ca="1"/>
        <v>0</v>
      </c>
    </row>
    <row r="512" spans="42:42">
      <c r="AP512">
        <f ca="1"/>
        <v>0</v>
      </c>
    </row>
    <row r="513" spans="42:42">
      <c r="AP513">
        <f ca="1"/>
        <v>0</v>
      </c>
    </row>
    <row r="514" spans="42:42">
      <c r="AP514">
        <f ca="1"/>
        <v>0</v>
      </c>
    </row>
    <row r="515" spans="42:42">
      <c r="AP515">
        <f ca="1"/>
        <v>0</v>
      </c>
    </row>
    <row r="516" spans="42:42">
      <c r="AP516">
        <f ca="1"/>
        <v>0</v>
      </c>
    </row>
    <row r="517" spans="42:42">
      <c r="AP517">
        <f ca="1"/>
        <v>0</v>
      </c>
    </row>
    <row r="518" spans="42:42">
      <c r="AP518">
        <f ca="1"/>
        <v>0</v>
      </c>
    </row>
    <row r="519" spans="42:42">
      <c r="AP519">
        <f ca="1"/>
        <v>0</v>
      </c>
    </row>
    <row r="520" spans="42:42">
      <c r="AP520">
        <f ca="1"/>
        <v>0</v>
      </c>
    </row>
    <row r="521" spans="42:42">
      <c r="AP521">
        <f ca="1"/>
        <v>0</v>
      </c>
    </row>
    <row r="522" spans="42:42">
      <c r="AP522">
        <f ca="1"/>
        <v>0</v>
      </c>
    </row>
    <row r="523" spans="42:42">
      <c r="AP523">
        <f ca="1"/>
        <v>0</v>
      </c>
    </row>
    <row r="524" spans="42:42">
      <c r="AP524">
        <f ca="1"/>
        <v>0</v>
      </c>
    </row>
    <row r="525" spans="42:42">
      <c r="AP525">
        <f ca="1"/>
        <v>0</v>
      </c>
    </row>
    <row r="526" spans="42:42">
      <c r="AP526">
        <f ca="1"/>
        <v>0</v>
      </c>
    </row>
    <row r="527" spans="42:42">
      <c r="AP527">
        <f ca="1"/>
        <v>0</v>
      </c>
    </row>
    <row r="528" spans="42:42">
      <c r="AP528">
        <f ca="1"/>
        <v>0</v>
      </c>
    </row>
    <row r="529" spans="42:42">
      <c r="AP529">
        <f ca="1"/>
        <v>0</v>
      </c>
    </row>
    <row r="530" spans="42:42">
      <c r="AP530">
        <f ca="1"/>
        <v>0</v>
      </c>
    </row>
    <row r="531" spans="42:42">
      <c r="AP531">
        <f ca="1"/>
        <v>0</v>
      </c>
    </row>
    <row r="532" spans="42:42">
      <c r="AP532">
        <f ca="1"/>
        <v>0</v>
      </c>
    </row>
    <row r="533" spans="42:42">
      <c r="AP533">
        <f ca="1"/>
        <v>0</v>
      </c>
    </row>
    <row r="534" spans="42:42">
      <c r="AP534">
        <f ca="1"/>
        <v>0</v>
      </c>
    </row>
    <row r="535" spans="42:42">
      <c r="AP535">
        <f ca="1"/>
        <v>0</v>
      </c>
    </row>
    <row r="536" spans="42:42">
      <c r="AP536">
        <f ca="1"/>
        <v>0</v>
      </c>
    </row>
    <row r="537" spans="42:42">
      <c r="AP537">
        <f ca="1"/>
        <v>0</v>
      </c>
    </row>
    <row r="538" spans="42:42">
      <c r="AP538">
        <f ca="1"/>
        <v>0</v>
      </c>
    </row>
    <row r="539" spans="42:42">
      <c r="AP539">
        <f ca="1"/>
        <v>0</v>
      </c>
    </row>
    <row r="540" spans="42:42">
      <c r="AP540">
        <f ca="1"/>
        <v>0</v>
      </c>
    </row>
    <row r="541" spans="42:42">
      <c r="AP541">
        <f ca="1"/>
        <v>0</v>
      </c>
    </row>
    <row r="542" spans="42:42">
      <c r="AP542">
        <f ca="1"/>
        <v>0</v>
      </c>
    </row>
    <row r="543" spans="42:42">
      <c r="AP543">
        <f ca="1"/>
        <v>0</v>
      </c>
    </row>
    <row r="544" spans="42:42">
      <c r="AP544">
        <f ca="1"/>
        <v>0</v>
      </c>
    </row>
    <row r="545" spans="42:42">
      <c r="AP545">
        <f ca="1"/>
        <v>0</v>
      </c>
    </row>
    <row r="546" spans="42:42">
      <c r="AP546">
        <f ca="1"/>
        <v>0</v>
      </c>
    </row>
    <row r="547" spans="42:42">
      <c r="AP547">
        <f ca="1"/>
        <v>0</v>
      </c>
    </row>
    <row r="548" spans="42:42">
      <c r="AP548">
        <f ca="1"/>
        <v>0</v>
      </c>
    </row>
    <row r="549" spans="42:42">
      <c r="AP549">
        <f ca="1"/>
        <v>0</v>
      </c>
    </row>
    <row r="550" spans="42:42">
      <c r="AP550">
        <f ca="1"/>
        <v>0</v>
      </c>
    </row>
    <row r="551" spans="42:42">
      <c r="AP551">
        <f ca="1"/>
        <v>0</v>
      </c>
    </row>
    <row r="552" spans="42:42">
      <c r="AP552">
        <f ca="1"/>
        <v>0</v>
      </c>
    </row>
    <row r="553" spans="42:42">
      <c r="AP553">
        <f ca="1"/>
        <v>0</v>
      </c>
    </row>
    <row r="554" spans="42:42">
      <c r="AP554">
        <f ca="1"/>
        <v>0</v>
      </c>
    </row>
    <row r="555" spans="42:42">
      <c r="AP555">
        <f ca="1"/>
        <v>0</v>
      </c>
    </row>
    <row r="556" spans="42:42">
      <c r="AP556">
        <f ca="1"/>
        <v>0</v>
      </c>
    </row>
    <row r="557" spans="42:42">
      <c r="AP557">
        <f ca="1"/>
        <v>0</v>
      </c>
    </row>
    <row r="558" spans="42:42">
      <c r="AP558">
        <f ca="1"/>
        <v>0</v>
      </c>
    </row>
    <row r="559" spans="42:42">
      <c r="AP559">
        <f ca="1"/>
        <v>0</v>
      </c>
    </row>
    <row r="560" spans="42:42">
      <c r="AP560">
        <f ca="1"/>
        <v>0</v>
      </c>
    </row>
    <row r="561" spans="42:42">
      <c r="AP561">
        <f ca="1"/>
        <v>0</v>
      </c>
    </row>
    <row r="562" spans="42:42">
      <c r="AP562">
        <f ca="1"/>
        <v>0</v>
      </c>
    </row>
    <row r="563" spans="42:42">
      <c r="AP563">
        <f ca="1"/>
        <v>0</v>
      </c>
    </row>
    <row r="564" spans="42:42">
      <c r="AP564">
        <f ca="1"/>
        <v>0</v>
      </c>
    </row>
    <row r="565" spans="42:42">
      <c r="AP565">
        <f ca="1"/>
        <v>0</v>
      </c>
    </row>
    <row r="566" spans="42:42">
      <c r="AP566">
        <f ca="1"/>
        <v>0</v>
      </c>
    </row>
    <row r="567" spans="42:42">
      <c r="AP567">
        <f ca="1"/>
        <v>0</v>
      </c>
    </row>
    <row r="568" spans="42:42">
      <c r="AP568">
        <f ca="1"/>
        <v>0</v>
      </c>
    </row>
    <row r="569" spans="42:42">
      <c r="AP569">
        <f ca="1"/>
        <v>0</v>
      </c>
    </row>
    <row r="570" spans="42:42">
      <c r="AP570">
        <f ca="1"/>
        <v>0</v>
      </c>
    </row>
    <row r="571" spans="42:42">
      <c r="AP571">
        <f ca="1"/>
        <v>0</v>
      </c>
    </row>
    <row r="572" spans="42:42">
      <c r="AP572">
        <f ca="1"/>
        <v>0</v>
      </c>
    </row>
    <row r="573" spans="42:42">
      <c r="AP573">
        <f ca="1"/>
        <v>0</v>
      </c>
    </row>
    <row r="574" spans="42:42">
      <c r="AP574">
        <f ca="1"/>
        <v>0</v>
      </c>
    </row>
    <row r="575" spans="42:42">
      <c r="AP575">
        <f ca="1"/>
        <v>0</v>
      </c>
    </row>
    <row r="576" spans="42:42">
      <c r="AP576">
        <f ca="1"/>
        <v>0</v>
      </c>
    </row>
    <row r="577" spans="42:42">
      <c r="AP577">
        <f ca="1"/>
        <v>0</v>
      </c>
    </row>
    <row r="578" spans="42:42">
      <c r="AP578">
        <f ca="1"/>
        <v>0</v>
      </c>
    </row>
    <row r="579" spans="42:42">
      <c r="AP579">
        <f ca="1"/>
        <v>0</v>
      </c>
    </row>
    <row r="580" spans="42:42">
      <c r="AP580">
        <f ca="1"/>
        <v>0</v>
      </c>
    </row>
    <row r="581" spans="42:42">
      <c r="AP581">
        <f ca="1"/>
        <v>0</v>
      </c>
    </row>
    <row r="582" spans="42:42">
      <c r="AP582">
        <f ca="1"/>
        <v>0</v>
      </c>
    </row>
    <row r="583" spans="42:42">
      <c r="AP583">
        <f ca="1"/>
        <v>0</v>
      </c>
    </row>
    <row r="584" spans="42:42">
      <c r="AP584">
        <f ca="1"/>
        <v>0</v>
      </c>
    </row>
    <row r="585" spans="42:42">
      <c r="AP585">
        <f ca="1"/>
        <v>0</v>
      </c>
    </row>
    <row r="586" spans="42:42">
      <c r="AP586">
        <f ca="1"/>
        <v>0</v>
      </c>
    </row>
    <row r="587" spans="42:42">
      <c r="AP587">
        <f ca="1"/>
        <v>0</v>
      </c>
    </row>
    <row r="588" spans="42:42">
      <c r="AP588">
        <f ca="1"/>
        <v>0</v>
      </c>
    </row>
    <row r="589" spans="42:42">
      <c r="AP589">
        <f ca="1"/>
        <v>0</v>
      </c>
    </row>
    <row r="590" spans="42:42">
      <c r="AP590">
        <f ca="1"/>
        <v>0</v>
      </c>
    </row>
    <row r="591" spans="42:42">
      <c r="AP591">
        <f ca="1"/>
        <v>0</v>
      </c>
    </row>
    <row r="592" spans="42:42">
      <c r="AP592">
        <f ca="1"/>
        <v>0</v>
      </c>
    </row>
    <row r="593" spans="42:42">
      <c r="AP593">
        <f ca="1"/>
        <v>0</v>
      </c>
    </row>
    <row r="594" spans="42:42">
      <c r="AP594">
        <f ca="1"/>
        <v>0</v>
      </c>
    </row>
    <row r="595" spans="42:42">
      <c r="AP595">
        <f ca="1"/>
        <v>0</v>
      </c>
    </row>
    <row r="596" spans="42:42">
      <c r="AP596">
        <f ca="1"/>
        <v>0</v>
      </c>
    </row>
    <row r="597" spans="42:42">
      <c r="AP597">
        <f ca="1"/>
        <v>0</v>
      </c>
    </row>
    <row r="598" spans="42:42">
      <c r="AP598">
        <f ca="1"/>
        <v>0</v>
      </c>
    </row>
    <row r="599" spans="42:42">
      <c r="AP599">
        <f ca="1"/>
        <v>0</v>
      </c>
    </row>
    <row r="600" spans="42:42">
      <c r="AP600">
        <f ca="1"/>
        <v>0</v>
      </c>
    </row>
    <row r="601" spans="42:42">
      <c r="AP601">
        <f ca="1"/>
        <v>0</v>
      </c>
    </row>
    <row r="602" spans="42:42">
      <c r="AP602">
        <f ca="1"/>
        <v>0</v>
      </c>
    </row>
    <row r="603" spans="42:42">
      <c r="AP603">
        <f ca="1"/>
        <v>0</v>
      </c>
    </row>
    <row r="604" spans="42:42">
      <c r="AP604">
        <f ca="1"/>
        <v>0</v>
      </c>
    </row>
    <row r="605" spans="42:42">
      <c r="AP605">
        <f ca="1"/>
        <v>0</v>
      </c>
    </row>
    <row r="606" spans="42:42">
      <c r="AP606">
        <f ca="1"/>
        <v>0</v>
      </c>
    </row>
    <row r="607" spans="42:42">
      <c r="AP607">
        <f ca="1"/>
        <v>0</v>
      </c>
    </row>
    <row r="608" spans="42:42">
      <c r="AP608">
        <f ca="1"/>
        <v>0</v>
      </c>
    </row>
    <row r="609" spans="42:42">
      <c r="AP609">
        <f ca="1"/>
        <v>0</v>
      </c>
    </row>
    <row r="610" spans="42:42">
      <c r="AP610">
        <f ca="1"/>
        <v>0</v>
      </c>
    </row>
    <row r="611" spans="42:42">
      <c r="AP611">
        <f ca="1"/>
        <v>0</v>
      </c>
    </row>
    <row r="612" spans="42:42">
      <c r="AP612">
        <f ca="1"/>
        <v>0</v>
      </c>
    </row>
    <row r="613" spans="42:42">
      <c r="AP613">
        <f ca="1"/>
        <v>0</v>
      </c>
    </row>
    <row r="614" spans="42:42">
      <c r="AP614">
        <f ca="1"/>
        <v>0</v>
      </c>
    </row>
    <row r="615" spans="42:42">
      <c r="AP615">
        <f ca="1"/>
        <v>0</v>
      </c>
    </row>
    <row r="616" spans="42:42">
      <c r="AP616">
        <f ca="1"/>
        <v>0</v>
      </c>
    </row>
    <row r="617" spans="42:42">
      <c r="AP617">
        <f ca="1"/>
        <v>0</v>
      </c>
    </row>
    <row r="618" spans="42:42">
      <c r="AP618">
        <f ca="1"/>
        <v>0</v>
      </c>
    </row>
    <row r="619" spans="42:42">
      <c r="AP619">
        <f ca="1"/>
        <v>0</v>
      </c>
    </row>
    <row r="620" spans="42:42">
      <c r="AP620">
        <f ca="1"/>
        <v>0</v>
      </c>
    </row>
    <row r="621" spans="42:42">
      <c r="AP621">
        <f ca="1"/>
        <v>0</v>
      </c>
    </row>
    <row r="622" spans="42:42">
      <c r="AP622">
        <f ca="1"/>
        <v>0</v>
      </c>
    </row>
    <row r="623" spans="42:42">
      <c r="AP623">
        <f ca="1"/>
        <v>0</v>
      </c>
    </row>
    <row r="624" spans="42:42">
      <c r="AP624">
        <f ca="1"/>
        <v>0</v>
      </c>
    </row>
    <row r="625" spans="42:42">
      <c r="AP625">
        <f ca="1"/>
        <v>0</v>
      </c>
    </row>
    <row r="626" spans="42:42">
      <c r="AP626">
        <f ca="1"/>
        <v>0</v>
      </c>
    </row>
    <row r="627" spans="42:42">
      <c r="AP627">
        <f ca="1"/>
        <v>0</v>
      </c>
    </row>
    <row r="628" spans="42:42">
      <c r="AP628">
        <f ca="1"/>
        <v>0</v>
      </c>
    </row>
    <row r="629" spans="42:42">
      <c r="AP629">
        <f ca="1"/>
        <v>0</v>
      </c>
    </row>
    <row r="630" spans="42:42">
      <c r="AP630">
        <f ca="1"/>
        <v>0</v>
      </c>
    </row>
    <row r="631" spans="42:42">
      <c r="AP631">
        <f ca="1"/>
        <v>0</v>
      </c>
    </row>
    <row r="632" spans="42:42">
      <c r="AP632">
        <f ca="1"/>
        <v>0</v>
      </c>
    </row>
    <row r="633" spans="42:42">
      <c r="AP633">
        <f ca="1"/>
        <v>0</v>
      </c>
    </row>
    <row r="634" spans="42:42">
      <c r="AP634">
        <f ca="1"/>
        <v>0</v>
      </c>
    </row>
    <row r="635" spans="42:42">
      <c r="AP635">
        <f ca="1"/>
        <v>0</v>
      </c>
    </row>
    <row r="636" spans="42:42">
      <c r="AP636">
        <f ca="1"/>
        <v>0</v>
      </c>
    </row>
    <row r="637" spans="42:42">
      <c r="AP637">
        <f ca="1"/>
        <v>0</v>
      </c>
    </row>
    <row r="638" spans="42:42">
      <c r="AP638">
        <f ca="1"/>
        <v>0</v>
      </c>
    </row>
    <row r="639" spans="42:42">
      <c r="AP639">
        <f ca="1"/>
        <v>0</v>
      </c>
    </row>
    <row r="640" spans="42:42">
      <c r="AP640">
        <f ca="1"/>
        <v>0</v>
      </c>
    </row>
    <row r="641" spans="42:42">
      <c r="AP641">
        <f ca="1"/>
        <v>0</v>
      </c>
    </row>
    <row r="642" spans="42:42">
      <c r="AP642">
        <f ca="1"/>
        <v>0</v>
      </c>
    </row>
    <row r="643" spans="42:42">
      <c r="AP643">
        <f ca="1"/>
        <v>0</v>
      </c>
    </row>
    <row r="644" spans="42:42">
      <c r="AP644">
        <f ca="1"/>
        <v>0</v>
      </c>
    </row>
    <row r="645" spans="42:42">
      <c r="AP645">
        <f ca="1"/>
        <v>0</v>
      </c>
    </row>
    <row r="646" spans="42:42">
      <c r="AP646">
        <f ca="1"/>
        <v>0</v>
      </c>
    </row>
    <row r="647" spans="42:42">
      <c r="AP647">
        <f ca="1"/>
        <v>0</v>
      </c>
    </row>
    <row r="648" spans="42:42">
      <c r="AP648">
        <f ca="1"/>
        <v>0</v>
      </c>
    </row>
    <row r="649" spans="42:42">
      <c r="AP649">
        <f ca="1"/>
        <v>0</v>
      </c>
    </row>
    <row r="650" spans="42:42">
      <c r="AP650">
        <f ca="1"/>
        <v>0</v>
      </c>
    </row>
    <row r="651" spans="42:42">
      <c r="AP651">
        <f ca="1"/>
        <v>0</v>
      </c>
    </row>
    <row r="652" spans="42:42">
      <c r="AP652">
        <f ca="1"/>
        <v>0</v>
      </c>
    </row>
    <row r="653" spans="42:42">
      <c r="AP653">
        <f ca="1"/>
        <v>0</v>
      </c>
    </row>
    <row r="654" spans="42:42">
      <c r="AP654">
        <f ca="1"/>
        <v>0</v>
      </c>
    </row>
    <row r="655" spans="42:42">
      <c r="AP655">
        <f ca="1"/>
        <v>0</v>
      </c>
    </row>
    <row r="656" spans="42:42">
      <c r="AP656">
        <f ca="1"/>
        <v>0</v>
      </c>
    </row>
    <row r="657" spans="42:42">
      <c r="AP657">
        <f ca="1"/>
        <v>0</v>
      </c>
    </row>
    <row r="658" spans="42:42">
      <c r="AP658">
        <f ca="1"/>
        <v>0</v>
      </c>
    </row>
    <row r="659" spans="42:42">
      <c r="AP659">
        <f ca="1"/>
        <v>0</v>
      </c>
    </row>
    <row r="660" spans="42:42">
      <c r="AP660">
        <f ca="1"/>
        <v>0</v>
      </c>
    </row>
    <row r="661" spans="42:42">
      <c r="AP661">
        <f ca="1"/>
        <v>0</v>
      </c>
    </row>
    <row r="662" spans="42:42">
      <c r="AP662">
        <f ca="1"/>
        <v>0</v>
      </c>
    </row>
    <row r="663" spans="42:42">
      <c r="AP663">
        <f ca="1"/>
        <v>0</v>
      </c>
    </row>
    <row r="664" spans="42:42">
      <c r="AP664">
        <f ca="1"/>
        <v>0</v>
      </c>
    </row>
    <row r="665" spans="42:42">
      <c r="AP665">
        <f ca="1"/>
        <v>0</v>
      </c>
    </row>
    <row r="666" spans="42:42">
      <c r="AP666">
        <f ca="1"/>
        <v>0</v>
      </c>
    </row>
    <row r="667" spans="42:42">
      <c r="AP667">
        <f ca="1"/>
        <v>0</v>
      </c>
    </row>
    <row r="668" spans="42:42">
      <c r="AP668">
        <f ca="1"/>
        <v>0</v>
      </c>
    </row>
    <row r="669" spans="42:42">
      <c r="AP669">
        <f ca="1"/>
        <v>0</v>
      </c>
    </row>
    <row r="670" spans="42:42">
      <c r="AP670">
        <f ca="1"/>
        <v>0</v>
      </c>
    </row>
    <row r="671" spans="42:42">
      <c r="AP671">
        <f ca="1"/>
        <v>0</v>
      </c>
    </row>
    <row r="672" spans="42:42">
      <c r="AP672">
        <f ca="1"/>
        <v>0</v>
      </c>
    </row>
    <row r="673" spans="42:42">
      <c r="AP673">
        <f ca="1"/>
        <v>0</v>
      </c>
    </row>
    <row r="674" spans="42:42">
      <c r="AP674">
        <f ca="1"/>
        <v>0</v>
      </c>
    </row>
    <row r="675" spans="42:42">
      <c r="AP675">
        <f ca="1"/>
        <v>0</v>
      </c>
    </row>
    <row r="676" spans="42:42">
      <c r="AP676">
        <f ca="1"/>
        <v>0</v>
      </c>
    </row>
    <row r="677" spans="42:42">
      <c r="AP677">
        <f ca="1"/>
        <v>0</v>
      </c>
    </row>
    <row r="678" spans="42:42">
      <c r="AP678">
        <f ca="1"/>
        <v>0</v>
      </c>
    </row>
    <row r="679" spans="42:42">
      <c r="AP679">
        <f ca="1"/>
        <v>0</v>
      </c>
    </row>
    <row r="680" spans="42:42">
      <c r="AP680">
        <f ca="1"/>
        <v>0</v>
      </c>
    </row>
    <row r="681" spans="42:42">
      <c r="AP681">
        <f ca="1"/>
        <v>0</v>
      </c>
    </row>
    <row r="682" spans="42:42">
      <c r="AP682">
        <f ca="1"/>
        <v>0</v>
      </c>
    </row>
    <row r="683" spans="42:42">
      <c r="AP683">
        <f ca="1"/>
        <v>0</v>
      </c>
    </row>
    <row r="684" spans="42:42">
      <c r="AP684">
        <f ca="1"/>
        <v>0</v>
      </c>
    </row>
    <row r="685" spans="42:42">
      <c r="AP685">
        <f ca="1"/>
        <v>0</v>
      </c>
    </row>
    <row r="686" spans="42:42">
      <c r="AP686">
        <f ca="1"/>
        <v>0</v>
      </c>
    </row>
    <row r="687" spans="42:42">
      <c r="AP687">
        <f ca="1"/>
        <v>0</v>
      </c>
    </row>
    <row r="688" spans="42:42">
      <c r="AP688">
        <f ca="1"/>
        <v>0</v>
      </c>
    </row>
    <row r="689" spans="42:42">
      <c r="AP689">
        <f ca="1"/>
        <v>0</v>
      </c>
    </row>
    <row r="690" spans="42:42">
      <c r="AP690">
        <f ca="1"/>
        <v>0</v>
      </c>
    </row>
    <row r="691" spans="42:42">
      <c r="AP691">
        <f ca="1"/>
        <v>0</v>
      </c>
    </row>
    <row r="692" spans="42:42">
      <c r="AP692">
        <f ca="1"/>
        <v>0</v>
      </c>
    </row>
    <row r="693" spans="42:42">
      <c r="AP693">
        <f ca="1"/>
        <v>0</v>
      </c>
    </row>
    <row r="694" spans="42:42">
      <c r="AP694">
        <f ca="1"/>
        <v>0</v>
      </c>
    </row>
    <row r="695" spans="42:42">
      <c r="AP695">
        <f ca="1"/>
        <v>0</v>
      </c>
    </row>
    <row r="696" spans="42:42">
      <c r="AP696">
        <f ca="1"/>
        <v>0</v>
      </c>
    </row>
    <row r="697" spans="42:42">
      <c r="AP697">
        <f ca="1"/>
        <v>0</v>
      </c>
    </row>
    <row r="698" spans="42:42">
      <c r="AP698">
        <f ca="1"/>
        <v>0</v>
      </c>
    </row>
    <row r="699" spans="42:42">
      <c r="AP699">
        <f ca="1"/>
        <v>0</v>
      </c>
    </row>
    <row r="700" spans="42:42">
      <c r="AP700">
        <f ca="1"/>
        <v>0</v>
      </c>
    </row>
    <row r="701" spans="42:42">
      <c r="AP701">
        <f ca="1"/>
        <v>0</v>
      </c>
    </row>
    <row r="702" spans="42:42">
      <c r="AP702">
        <f ca="1"/>
        <v>0</v>
      </c>
    </row>
    <row r="703" spans="42:42">
      <c r="AP703">
        <f ca="1"/>
        <v>0</v>
      </c>
    </row>
    <row r="704" spans="42:42">
      <c r="AP704">
        <f ca="1"/>
        <v>0</v>
      </c>
    </row>
    <row r="705" spans="42:42">
      <c r="AP705">
        <f ca="1"/>
        <v>0</v>
      </c>
    </row>
    <row r="706" spans="42:42">
      <c r="AP706">
        <f ca="1"/>
        <v>0</v>
      </c>
    </row>
    <row r="707" spans="42:42">
      <c r="AP707">
        <f ca="1"/>
        <v>0</v>
      </c>
    </row>
    <row r="708" spans="42:42">
      <c r="AP708">
        <f ca="1"/>
        <v>0</v>
      </c>
    </row>
    <row r="709" spans="42:42">
      <c r="AP709">
        <f ca="1"/>
        <v>0</v>
      </c>
    </row>
    <row r="710" spans="42:42">
      <c r="AP710">
        <f ca="1"/>
        <v>0</v>
      </c>
    </row>
    <row r="711" spans="42:42">
      <c r="AP711">
        <f ca="1"/>
        <v>0</v>
      </c>
    </row>
    <row r="712" spans="42:42">
      <c r="AP712">
        <f ca="1"/>
        <v>0</v>
      </c>
    </row>
    <row r="713" spans="42:42">
      <c r="AP713">
        <f ca="1"/>
        <v>0</v>
      </c>
    </row>
    <row r="714" spans="42:42">
      <c r="AP714">
        <f ca="1"/>
        <v>0</v>
      </c>
    </row>
    <row r="715" spans="42:42">
      <c r="AP715">
        <f ca="1"/>
        <v>0</v>
      </c>
    </row>
    <row r="716" spans="42:42">
      <c r="AP716">
        <f ca="1"/>
        <v>0</v>
      </c>
    </row>
    <row r="717" spans="42:42">
      <c r="AP717">
        <f ca="1"/>
        <v>0</v>
      </c>
    </row>
    <row r="718" spans="42:42">
      <c r="AP718">
        <f ca="1"/>
        <v>0</v>
      </c>
    </row>
    <row r="719" spans="42:42">
      <c r="AP719">
        <f ca="1"/>
        <v>0</v>
      </c>
    </row>
    <row r="720" spans="42:42">
      <c r="AP720">
        <f ca="1"/>
        <v>0</v>
      </c>
    </row>
    <row r="721" spans="42:42">
      <c r="AP721">
        <f ca="1"/>
        <v>0</v>
      </c>
    </row>
    <row r="722" spans="42:42">
      <c r="AP722">
        <f ca="1"/>
        <v>0</v>
      </c>
    </row>
    <row r="723" spans="42:42">
      <c r="AP723">
        <f ca="1"/>
        <v>0</v>
      </c>
    </row>
    <row r="724" spans="42:42">
      <c r="AP724">
        <f ca="1"/>
        <v>0</v>
      </c>
    </row>
    <row r="725" spans="42:42">
      <c r="AP725">
        <f ca="1"/>
        <v>0</v>
      </c>
    </row>
    <row r="726" spans="42:42">
      <c r="AP726">
        <f ca="1"/>
        <v>0</v>
      </c>
    </row>
    <row r="727" spans="42:42">
      <c r="AP727">
        <f ca="1"/>
        <v>0</v>
      </c>
    </row>
    <row r="728" spans="42:42">
      <c r="AP728">
        <f ca="1"/>
        <v>0</v>
      </c>
    </row>
    <row r="729" spans="42:42">
      <c r="AP729">
        <f ca="1"/>
        <v>0</v>
      </c>
    </row>
    <row r="730" spans="42:42">
      <c r="AP730">
        <f ca="1"/>
        <v>0</v>
      </c>
    </row>
    <row r="731" spans="42:42">
      <c r="AP731">
        <f ca="1"/>
        <v>0</v>
      </c>
    </row>
    <row r="732" spans="42:42">
      <c r="AP732">
        <f ca="1"/>
        <v>0</v>
      </c>
    </row>
    <row r="733" spans="42:42">
      <c r="AP733">
        <f ca="1"/>
        <v>0</v>
      </c>
    </row>
    <row r="734" spans="42:42">
      <c r="AP734">
        <f ca="1"/>
        <v>0</v>
      </c>
    </row>
    <row r="735" spans="42:42">
      <c r="AP735">
        <f ca="1"/>
        <v>0</v>
      </c>
    </row>
    <row r="736" spans="42:42">
      <c r="AP736">
        <f ca="1"/>
        <v>0</v>
      </c>
    </row>
    <row r="737" spans="42:42">
      <c r="AP737">
        <f ca="1"/>
        <v>0</v>
      </c>
    </row>
    <row r="738" spans="42:42">
      <c r="AP738">
        <f ca="1"/>
        <v>0</v>
      </c>
    </row>
    <row r="739" spans="42:42">
      <c r="AP739">
        <f ca="1"/>
        <v>0</v>
      </c>
    </row>
    <row r="740" spans="42:42">
      <c r="AP740">
        <f ca="1"/>
        <v>0</v>
      </c>
    </row>
    <row r="741" spans="42:42">
      <c r="AP741">
        <f ca="1"/>
        <v>0</v>
      </c>
    </row>
    <row r="742" spans="42:42">
      <c r="AP742">
        <f ca="1"/>
        <v>0</v>
      </c>
    </row>
    <row r="743" spans="42:42">
      <c r="AP743">
        <f ca="1"/>
        <v>0</v>
      </c>
    </row>
    <row r="744" spans="42:42">
      <c r="AP744">
        <f ca="1"/>
        <v>0</v>
      </c>
    </row>
    <row r="745" spans="42:42">
      <c r="AP745">
        <f ca="1"/>
        <v>0</v>
      </c>
    </row>
    <row r="746" spans="42:42">
      <c r="AP746">
        <f ca="1"/>
        <v>0</v>
      </c>
    </row>
    <row r="747" spans="42:42">
      <c r="AP747">
        <f ca="1"/>
        <v>0</v>
      </c>
    </row>
    <row r="748" spans="42:42">
      <c r="AP748">
        <f ca="1"/>
        <v>0</v>
      </c>
    </row>
    <row r="749" spans="42:42">
      <c r="AP749">
        <f ca="1"/>
        <v>0</v>
      </c>
    </row>
    <row r="750" spans="42:42">
      <c r="AP750">
        <f ca="1"/>
        <v>0</v>
      </c>
    </row>
    <row r="751" spans="42:42">
      <c r="AP751">
        <f ca="1"/>
        <v>0</v>
      </c>
    </row>
    <row r="752" spans="42:42">
      <c r="AP752">
        <f ca="1"/>
        <v>0</v>
      </c>
    </row>
    <row r="753" spans="42:42">
      <c r="AP753">
        <f ca="1"/>
        <v>0</v>
      </c>
    </row>
    <row r="754" spans="42:42">
      <c r="AP754">
        <f ca="1"/>
        <v>0</v>
      </c>
    </row>
    <row r="755" spans="42:42">
      <c r="AP755">
        <f ca="1"/>
        <v>0</v>
      </c>
    </row>
    <row r="756" spans="42:42">
      <c r="AP756">
        <f ca="1"/>
        <v>0</v>
      </c>
    </row>
    <row r="757" spans="42:42">
      <c r="AP757">
        <f ca="1"/>
        <v>0</v>
      </c>
    </row>
    <row r="758" spans="42:42">
      <c r="AP758">
        <f ca="1"/>
        <v>0</v>
      </c>
    </row>
    <row r="759" spans="42:42">
      <c r="AP759">
        <f ca="1"/>
        <v>0</v>
      </c>
    </row>
    <row r="760" spans="42:42">
      <c r="AP760">
        <f ca="1"/>
        <v>0</v>
      </c>
    </row>
    <row r="761" spans="42:42">
      <c r="AP761">
        <f ca="1"/>
        <v>0</v>
      </c>
    </row>
    <row r="762" spans="42:42">
      <c r="AP762">
        <f ca="1"/>
        <v>0</v>
      </c>
    </row>
    <row r="763" spans="42:42">
      <c r="AP763">
        <f ca="1"/>
        <v>0</v>
      </c>
    </row>
    <row r="764" spans="42:42">
      <c r="AP764">
        <f ca="1"/>
        <v>0</v>
      </c>
    </row>
    <row r="765" spans="42:42">
      <c r="AP765">
        <f ca="1"/>
        <v>0</v>
      </c>
    </row>
    <row r="766" spans="42:42">
      <c r="AP766">
        <f ca="1"/>
        <v>0</v>
      </c>
    </row>
    <row r="767" spans="42:42">
      <c r="AP767">
        <f ca="1"/>
        <v>0</v>
      </c>
    </row>
    <row r="768" spans="42:42">
      <c r="AP768">
        <f ca="1"/>
        <v>0</v>
      </c>
    </row>
    <row r="769" spans="42:42">
      <c r="AP769">
        <f ca="1"/>
        <v>0</v>
      </c>
    </row>
    <row r="770" spans="42:42">
      <c r="AP770">
        <f ca="1"/>
        <v>0</v>
      </c>
    </row>
    <row r="771" spans="42:42">
      <c r="AP771">
        <f ca="1"/>
        <v>0</v>
      </c>
    </row>
    <row r="772" spans="42:42">
      <c r="AP772">
        <f ca="1"/>
        <v>0</v>
      </c>
    </row>
    <row r="773" spans="42:42">
      <c r="AP773">
        <f ca="1"/>
        <v>0</v>
      </c>
    </row>
    <row r="774" spans="42:42">
      <c r="AP774">
        <f ca="1"/>
        <v>0</v>
      </c>
    </row>
    <row r="775" spans="42:42">
      <c r="AP775">
        <f ca="1"/>
        <v>0</v>
      </c>
    </row>
    <row r="776" spans="42:42">
      <c r="AP776">
        <f ca="1"/>
        <v>0</v>
      </c>
    </row>
    <row r="777" spans="42:42">
      <c r="AP777">
        <f ca="1"/>
        <v>0</v>
      </c>
    </row>
    <row r="778" spans="42:42">
      <c r="AP778">
        <f ca="1"/>
        <v>0</v>
      </c>
    </row>
    <row r="779" spans="42:42">
      <c r="AP779">
        <f ca="1"/>
        <v>0</v>
      </c>
    </row>
    <row r="780" spans="42:42">
      <c r="AP780">
        <f ca="1"/>
        <v>0</v>
      </c>
    </row>
    <row r="781" spans="42:42">
      <c r="AP781">
        <f ca="1"/>
        <v>0</v>
      </c>
    </row>
    <row r="782" spans="42:42">
      <c r="AP782">
        <f ca="1"/>
        <v>0</v>
      </c>
    </row>
    <row r="783" spans="42:42">
      <c r="AP783">
        <f ca="1"/>
        <v>0</v>
      </c>
    </row>
    <row r="784" spans="42:42">
      <c r="AP784">
        <f ca="1"/>
        <v>0</v>
      </c>
    </row>
    <row r="785" spans="42:42">
      <c r="AP785">
        <f ca="1"/>
        <v>0</v>
      </c>
    </row>
    <row r="786" spans="42:42">
      <c r="AP786">
        <f ca="1"/>
        <v>0</v>
      </c>
    </row>
    <row r="787" spans="42:42">
      <c r="AP787">
        <f ca="1"/>
        <v>0</v>
      </c>
    </row>
    <row r="788" spans="42:42">
      <c r="AP788">
        <f ca="1"/>
        <v>0</v>
      </c>
    </row>
    <row r="789" spans="42:42">
      <c r="AP789">
        <f ca="1"/>
        <v>0</v>
      </c>
    </row>
    <row r="790" spans="42:42">
      <c r="AP790">
        <f ca="1"/>
        <v>0</v>
      </c>
    </row>
    <row r="791" spans="42:42">
      <c r="AP791">
        <f ca="1"/>
        <v>0</v>
      </c>
    </row>
    <row r="792" spans="42:42">
      <c r="AP792">
        <f ca="1"/>
        <v>0</v>
      </c>
    </row>
    <row r="793" spans="42:42">
      <c r="AP793">
        <f ca="1"/>
        <v>0</v>
      </c>
    </row>
    <row r="794" spans="42:42">
      <c r="AP794">
        <f ca="1"/>
        <v>0</v>
      </c>
    </row>
    <row r="795" spans="42:42">
      <c r="AP795">
        <f ca="1"/>
        <v>0</v>
      </c>
    </row>
    <row r="796" spans="42:42">
      <c r="AP796">
        <f ca="1"/>
        <v>0</v>
      </c>
    </row>
    <row r="797" spans="42:42">
      <c r="AP797">
        <f ca="1"/>
        <v>0</v>
      </c>
    </row>
    <row r="798" spans="42:42">
      <c r="AP798">
        <f ca="1"/>
        <v>0</v>
      </c>
    </row>
    <row r="799" spans="42:42">
      <c r="AP799">
        <f ca="1"/>
        <v>0</v>
      </c>
    </row>
    <row r="800" spans="42:42">
      <c r="AP800">
        <f ca="1"/>
        <v>0</v>
      </c>
    </row>
    <row r="801" spans="42:42">
      <c r="AP801">
        <f ca="1"/>
        <v>0</v>
      </c>
    </row>
    <row r="802" spans="42:42">
      <c r="AP802">
        <f ca="1"/>
        <v>0</v>
      </c>
    </row>
    <row r="803" spans="42:42">
      <c r="AP803">
        <f ca="1"/>
        <v>0</v>
      </c>
    </row>
    <row r="804" spans="42:42">
      <c r="AP804">
        <f ca="1"/>
        <v>0</v>
      </c>
    </row>
    <row r="805" spans="42:42">
      <c r="AP805">
        <f ca="1"/>
        <v>0</v>
      </c>
    </row>
    <row r="806" spans="42:42">
      <c r="AP806">
        <f ca="1"/>
        <v>0</v>
      </c>
    </row>
    <row r="807" spans="42:42">
      <c r="AP807">
        <f ca="1"/>
        <v>0</v>
      </c>
    </row>
    <row r="808" spans="42:42">
      <c r="AP808">
        <f ca="1"/>
        <v>0</v>
      </c>
    </row>
    <row r="809" spans="42:42">
      <c r="AP809">
        <f ca="1"/>
        <v>0</v>
      </c>
    </row>
    <row r="810" spans="42:42">
      <c r="AP810">
        <f ca="1"/>
        <v>0</v>
      </c>
    </row>
    <row r="811" spans="42:42">
      <c r="AP811">
        <f ca="1"/>
        <v>0</v>
      </c>
    </row>
    <row r="812" spans="42:42">
      <c r="AP812">
        <f ca="1"/>
        <v>0</v>
      </c>
    </row>
    <row r="813" spans="42:42">
      <c r="AP813">
        <f ca="1"/>
        <v>0</v>
      </c>
    </row>
    <row r="814" spans="42:42">
      <c r="AP814">
        <f ca="1"/>
        <v>0</v>
      </c>
    </row>
    <row r="815" spans="42:42">
      <c r="AP815">
        <f ca="1"/>
        <v>0</v>
      </c>
    </row>
    <row r="816" spans="42:42">
      <c r="AP816">
        <f ca="1"/>
        <v>0</v>
      </c>
    </row>
    <row r="817" spans="42:42">
      <c r="AP817">
        <f ca="1"/>
        <v>0</v>
      </c>
    </row>
    <row r="818" spans="42:42">
      <c r="AP818">
        <f ca="1"/>
        <v>0</v>
      </c>
    </row>
    <row r="819" spans="42:42">
      <c r="AP819">
        <f ca="1"/>
        <v>0</v>
      </c>
    </row>
    <row r="820" spans="42:42">
      <c r="AP820">
        <f ca="1"/>
        <v>0</v>
      </c>
    </row>
    <row r="821" spans="42:42">
      <c r="AP821">
        <f ca="1"/>
        <v>0</v>
      </c>
    </row>
    <row r="822" spans="42:42">
      <c r="AP822">
        <f ca="1"/>
        <v>0</v>
      </c>
    </row>
    <row r="823" spans="42:42">
      <c r="AP823">
        <f ca="1"/>
        <v>0</v>
      </c>
    </row>
    <row r="824" spans="42:42">
      <c r="AP824">
        <f ca="1"/>
        <v>0</v>
      </c>
    </row>
    <row r="825" spans="42:42">
      <c r="AP825">
        <f ca="1"/>
        <v>0</v>
      </c>
    </row>
    <row r="826" spans="42:42">
      <c r="AP826">
        <f ca="1"/>
        <v>0</v>
      </c>
    </row>
    <row r="827" spans="42:42">
      <c r="AP827">
        <f ca="1"/>
        <v>0</v>
      </c>
    </row>
    <row r="828" spans="42:42">
      <c r="AP828">
        <f ca="1"/>
        <v>0</v>
      </c>
    </row>
    <row r="829" spans="42:42">
      <c r="AP829">
        <f ca="1"/>
        <v>0</v>
      </c>
    </row>
    <row r="830" spans="42:42">
      <c r="AP830">
        <f ca="1"/>
        <v>0</v>
      </c>
    </row>
    <row r="831" spans="42:42">
      <c r="AP831">
        <f ca="1"/>
        <v>0</v>
      </c>
    </row>
    <row r="832" spans="42:42">
      <c r="AP832">
        <f ca="1"/>
        <v>0</v>
      </c>
    </row>
    <row r="833" spans="42:42">
      <c r="AP833">
        <f ca="1"/>
        <v>0</v>
      </c>
    </row>
    <row r="834" spans="42:42">
      <c r="AP834">
        <f ca="1"/>
        <v>0</v>
      </c>
    </row>
    <row r="835" spans="42:42">
      <c r="AP835">
        <f ca="1"/>
        <v>0</v>
      </c>
    </row>
    <row r="836" spans="42:42">
      <c r="AP836">
        <f ca="1"/>
        <v>0</v>
      </c>
    </row>
    <row r="837" spans="42:42">
      <c r="AP837">
        <f ca="1"/>
        <v>0</v>
      </c>
    </row>
    <row r="838" spans="42:42">
      <c r="AP838">
        <f ca="1"/>
        <v>0</v>
      </c>
    </row>
    <row r="839" spans="42:42">
      <c r="AP839">
        <f ca="1"/>
        <v>0</v>
      </c>
    </row>
    <row r="840" spans="42:42">
      <c r="AP840">
        <f ca="1"/>
        <v>0</v>
      </c>
    </row>
    <row r="841" spans="42:42">
      <c r="AP841">
        <f ca="1"/>
        <v>0</v>
      </c>
    </row>
    <row r="842" spans="42:42">
      <c r="AP842">
        <f ca="1"/>
        <v>0</v>
      </c>
    </row>
    <row r="843" spans="42:42">
      <c r="AP843">
        <f ca="1"/>
        <v>0</v>
      </c>
    </row>
    <row r="844" spans="42:42">
      <c r="AP844">
        <f ca="1"/>
        <v>0</v>
      </c>
    </row>
    <row r="845" spans="42:42">
      <c r="AP845">
        <f ca="1"/>
        <v>0</v>
      </c>
    </row>
    <row r="846" spans="42:42">
      <c r="AP846">
        <f ca="1"/>
        <v>0</v>
      </c>
    </row>
    <row r="847" spans="42:42">
      <c r="AP847">
        <f ca="1"/>
        <v>0</v>
      </c>
    </row>
    <row r="848" spans="42:42">
      <c r="AP848">
        <f ca="1"/>
        <v>0</v>
      </c>
    </row>
    <row r="849" spans="42:42">
      <c r="AP849">
        <f ca="1"/>
        <v>0</v>
      </c>
    </row>
    <row r="850" spans="42:42">
      <c r="AP850">
        <f ca="1"/>
        <v>0</v>
      </c>
    </row>
    <row r="851" spans="42:42">
      <c r="AP851">
        <f ca="1"/>
        <v>0</v>
      </c>
    </row>
    <row r="852" spans="42:42">
      <c r="AP852">
        <f ca="1"/>
        <v>0</v>
      </c>
    </row>
    <row r="853" spans="42:42">
      <c r="AP853">
        <f ca="1"/>
        <v>0</v>
      </c>
    </row>
    <row r="854" spans="42:42">
      <c r="AP854">
        <f ca="1"/>
        <v>0</v>
      </c>
    </row>
    <row r="855" spans="42:42">
      <c r="AP855">
        <f ca="1"/>
        <v>0</v>
      </c>
    </row>
    <row r="856" spans="42:42">
      <c r="AP856">
        <f ca="1"/>
        <v>0</v>
      </c>
    </row>
    <row r="857" spans="42:42">
      <c r="AP857">
        <f ca="1"/>
        <v>0</v>
      </c>
    </row>
    <row r="858" spans="42:42">
      <c r="AP858">
        <f ca="1"/>
        <v>0</v>
      </c>
    </row>
    <row r="859" spans="42:42">
      <c r="AP859">
        <f ca="1"/>
        <v>0</v>
      </c>
    </row>
    <row r="860" spans="42:42">
      <c r="AP860">
        <f ca="1"/>
        <v>0</v>
      </c>
    </row>
    <row r="861" spans="42:42">
      <c r="AP861">
        <f ca="1"/>
        <v>0</v>
      </c>
    </row>
    <row r="862" spans="42:42">
      <c r="AP862">
        <f ca="1"/>
        <v>0</v>
      </c>
    </row>
    <row r="863" spans="42:42">
      <c r="AP863">
        <f ca="1"/>
        <v>0</v>
      </c>
    </row>
    <row r="864" spans="42:42">
      <c r="AP864">
        <f ca="1"/>
        <v>0</v>
      </c>
    </row>
    <row r="865" spans="42:42">
      <c r="AP865">
        <f ca="1"/>
        <v>0</v>
      </c>
    </row>
    <row r="866" spans="42:42">
      <c r="AP866">
        <f ca="1"/>
        <v>0</v>
      </c>
    </row>
    <row r="867" spans="42:42">
      <c r="AP867">
        <f ca="1"/>
        <v>0</v>
      </c>
    </row>
    <row r="868" spans="42:42">
      <c r="AP868">
        <f ca="1"/>
        <v>0</v>
      </c>
    </row>
    <row r="869" spans="42:42">
      <c r="AP869">
        <f ca="1"/>
        <v>0</v>
      </c>
    </row>
    <row r="870" spans="42:42">
      <c r="AP870">
        <f ca="1"/>
        <v>0</v>
      </c>
    </row>
    <row r="871" spans="42:42">
      <c r="AP871">
        <f ca="1"/>
        <v>0</v>
      </c>
    </row>
    <row r="872" spans="42:42">
      <c r="AP872">
        <f ca="1"/>
        <v>0</v>
      </c>
    </row>
    <row r="873" spans="42:42">
      <c r="AP873">
        <f ca="1"/>
        <v>0</v>
      </c>
    </row>
    <row r="874" spans="42:42">
      <c r="AP874">
        <f ca="1"/>
        <v>0</v>
      </c>
    </row>
    <row r="875" spans="42:42">
      <c r="AP875">
        <f ca="1"/>
        <v>0</v>
      </c>
    </row>
    <row r="876" spans="42:42">
      <c r="AP876">
        <f ca="1"/>
        <v>0</v>
      </c>
    </row>
    <row r="877" spans="42:42">
      <c r="AP877">
        <f ca="1"/>
        <v>0</v>
      </c>
    </row>
    <row r="878" spans="42:42">
      <c r="AP878">
        <f ca="1"/>
        <v>0</v>
      </c>
    </row>
    <row r="879" spans="42:42">
      <c r="AP879">
        <f ca="1"/>
        <v>0</v>
      </c>
    </row>
    <row r="880" spans="42:42">
      <c r="AP880">
        <f ca="1"/>
        <v>0</v>
      </c>
    </row>
    <row r="881" spans="42:42">
      <c r="AP881">
        <f ca="1"/>
        <v>0</v>
      </c>
    </row>
    <row r="882" spans="42:42">
      <c r="AP882">
        <f ca="1"/>
        <v>0</v>
      </c>
    </row>
    <row r="883" spans="42:42">
      <c r="AP883">
        <f ca="1"/>
        <v>0</v>
      </c>
    </row>
    <row r="884" spans="42:42">
      <c r="AP884">
        <f ca="1"/>
        <v>0</v>
      </c>
    </row>
    <row r="885" spans="42:42">
      <c r="AP885">
        <f ca="1"/>
        <v>0</v>
      </c>
    </row>
    <row r="886" spans="42:42">
      <c r="AP886">
        <f ca="1"/>
        <v>0</v>
      </c>
    </row>
    <row r="887" spans="42:42">
      <c r="AP887">
        <f ca="1"/>
        <v>0</v>
      </c>
    </row>
    <row r="888" spans="42:42">
      <c r="AP888">
        <f ca="1"/>
        <v>0</v>
      </c>
    </row>
    <row r="889" spans="42:42">
      <c r="AP889">
        <f ca="1"/>
        <v>0</v>
      </c>
    </row>
    <row r="890" spans="42:42">
      <c r="AP890">
        <f ca="1"/>
        <v>0</v>
      </c>
    </row>
    <row r="891" spans="42:42">
      <c r="AP891">
        <f ca="1"/>
        <v>0</v>
      </c>
    </row>
    <row r="892" spans="42:42">
      <c r="AP892">
        <f ca="1"/>
        <v>0</v>
      </c>
    </row>
    <row r="893" spans="42:42">
      <c r="AP893">
        <f ca="1"/>
        <v>0</v>
      </c>
    </row>
    <row r="894" spans="42:42">
      <c r="AP894">
        <f ca="1"/>
        <v>0</v>
      </c>
    </row>
    <row r="895" spans="42:42">
      <c r="AP895">
        <f ca="1"/>
        <v>0</v>
      </c>
    </row>
    <row r="896" spans="42:42">
      <c r="AP896">
        <f ca="1"/>
        <v>0</v>
      </c>
    </row>
    <row r="897" spans="42:42">
      <c r="AP897">
        <f ca="1"/>
        <v>0</v>
      </c>
    </row>
    <row r="898" spans="42:42">
      <c r="AP898">
        <f ca="1"/>
        <v>0</v>
      </c>
    </row>
    <row r="899" spans="42:42">
      <c r="AP899">
        <f ca="1"/>
        <v>0</v>
      </c>
    </row>
    <row r="900" spans="42:42">
      <c r="AP900">
        <f ca="1"/>
        <v>0</v>
      </c>
    </row>
    <row r="901" spans="42:42">
      <c r="AP901">
        <f ca="1"/>
        <v>0</v>
      </c>
    </row>
    <row r="902" spans="42:42">
      <c r="AP902">
        <f ca="1"/>
        <v>0</v>
      </c>
    </row>
    <row r="903" spans="42:42">
      <c r="AP903">
        <f ca="1"/>
        <v>0</v>
      </c>
    </row>
    <row r="904" spans="42:42">
      <c r="AP904">
        <f ca="1"/>
        <v>0</v>
      </c>
    </row>
    <row r="905" spans="42:42">
      <c r="AP905">
        <f ca="1"/>
        <v>0</v>
      </c>
    </row>
    <row r="906" spans="42:42">
      <c r="AP906">
        <f ca="1"/>
        <v>0</v>
      </c>
    </row>
    <row r="907" spans="42:42">
      <c r="AP907">
        <f ca="1"/>
        <v>0</v>
      </c>
    </row>
    <row r="908" spans="42:42">
      <c r="AP908">
        <f ca="1"/>
        <v>0</v>
      </c>
    </row>
    <row r="909" spans="42:42">
      <c r="AP909">
        <f ca="1"/>
        <v>0</v>
      </c>
    </row>
    <row r="910" spans="42:42">
      <c r="AP910">
        <f ca="1"/>
        <v>0</v>
      </c>
    </row>
    <row r="911" spans="42:42">
      <c r="AP911">
        <f ca="1"/>
        <v>0</v>
      </c>
    </row>
    <row r="912" spans="42:42">
      <c r="AP912">
        <f ca="1"/>
        <v>0</v>
      </c>
    </row>
    <row r="913" spans="42:42">
      <c r="AP913">
        <f ca="1"/>
        <v>0</v>
      </c>
    </row>
    <row r="914" spans="42:42">
      <c r="AP914">
        <f ca="1"/>
        <v>0</v>
      </c>
    </row>
    <row r="915" spans="42:42">
      <c r="AP915">
        <f ca="1"/>
        <v>0</v>
      </c>
    </row>
    <row r="916" spans="42:42">
      <c r="AP916">
        <f ca="1"/>
        <v>0</v>
      </c>
    </row>
    <row r="917" spans="42:42">
      <c r="AP917">
        <f ca="1"/>
        <v>0</v>
      </c>
    </row>
    <row r="918" spans="42:42">
      <c r="AP918">
        <f ca="1"/>
        <v>0</v>
      </c>
    </row>
    <row r="919" spans="42:42">
      <c r="AP919">
        <f ca="1"/>
        <v>0</v>
      </c>
    </row>
    <row r="920" spans="42:42">
      <c r="AP920">
        <f ca="1"/>
        <v>0</v>
      </c>
    </row>
    <row r="921" spans="42:42">
      <c r="AP921">
        <f ca="1"/>
        <v>0</v>
      </c>
    </row>
    <row r="922" spans="42:42">
      <c r="AP922">
        <f ca="1"/>
        <v>0</v>
      </c>
    </row>
    <row r="923" spans="42:42">
      <c r="AP923">
        <f ca="1"/>
        <v>0</v>
      </c>
    </row>
    <row r="924" spans="42:42">
      <c r="AP924">
        <f ca="1"/>
        <v>0</v>
      </c>
    </row>
    <row r="925" spans="42:42">
      <c r="AP925">
        <f ca="1"/>
        <v>0</v>
      </c>
    </row>
    <row r="926" spans="42:42">
      <c r="AP926">
        <f ca="1"/>
        <v>0</v>
      </c>
    </row>
    <row r="927" spans="42:42">
      <c r="AP927">
        <f ca="1"/>
        <v>0</v>
      </c>
    </row>
    <row r="928" spans="42:42">
      <c r="AP928">
        <f ca="1"/>
        <v>0</v>
      </c>
    </row>
    <row r="929" spans="42:42">
      <c r="AP929">
        <f ca="1"/>
        <v>0</v>
      </c>
    </row>
    <row r="930" spans="42:42">
      <c r="AP930">
        <f ca="1"/>
        <v>0</v>
      </c>
    </row>
    <row r="931" spans="42:42">
      <c r="AP931">
        <f ca="1"/>
        <v>0</v>
      </c>
    </row>
    <row r="932" spans="42:42">
      <c r="AP932">
        <f ca="1"/>
        <v>0</v>
      </c>
    </row>
    <row r="933" spans="42:42">
      <c r="AP933">
        <f ca="1"/>
        <v>0</v>
      </c>
    </row>
    <row r="934" spans="42:42">
      <c r="AP934">
        <f ca="1"/>
        <v>0</v>
      </c>
    </row>
    <row r="935" spans="42:42">
      <c r="AP935">
        <f ca="1"/>
        <v>0</v>
      </c>
    </row>
    <row r="936" spans="42:42">
      <c r="AP936">
        <f ca="1"/>
        <v>0</v>
      </c>
    </row>
    <row r="937" spans="42:42">
      <c r="AP937">
        <f ca="1"/>
        <v>0</v>
      </c>
    </row>
    <row r="938" spans="42:42">
      <c r="AP938">
        <f ca="1"/>
        <v>0</v>
      </c>
    </row>
    <row r="939" spans="42:42">
      <c r="AP939">
        <f ca="1"/>
        <v>0</v>
      </c>
    </row>
    <row r="940" spans="42:42">
      <c r="AP940">
        <f ca="1"/>
        <v>0</v>
      </c>
    </row>
    <row r="941" spans="42:42">
      <c r="AP941">
        <f ca="1"/>
        <v>0</v>
      </c>
    </row>
    <row r="942" spans="42:42">
      <c r="AP942">
        <f ca="1"/>
        <v>0</v>
      </c>
    </row>
    <row r="943" spans="42:42">
      <c r="AP943">
        <f ca="1"/>
        <v>0</v>
      </c>
    </row>
    <row r="944" spans="42:42">
      <c r="AP944">
        <f ca="1"/>
        <v>0</v>
      </c>
    </row>
    <row r="945" spans="42:42">
      <c r="AP945">
        <f ca="1"/>
        <v>0</v>
      </c>
    </row>
    <row r="946" spans="42:42">
      <c r="AP946">
        <f ca="1"/>
        <v>0</v>
      </c>
    </row>
    <row r="947" spans="42:42">
      <c r="AP947">
        <f ca="1"/>
        <v>0</v>
      </c>
    </row>
    <row r="948" spans="42:42">
      <c r="AP948">
        <f ca="1"/>
        <v>0</v>
      </c>
    </row>
    <row r="949" spans="42:42">
      <c r="AP949">
        <f ca="1"/>
        <v>0</v>
      </c>
    </row>
    <row r="950" spans="42:42">
      <c r="AP950">
        <f ca="1"/>
        <v>0</v>
      </c>
    </row>
    <row r="951" spans="42:42">
      <c r="AP951">
        <f ca="1"/>
        <v>0</v>
      </c>
    </row>
    <row r="952" spans="42:42">
      <c r="AP952">
        <f ca="1"/>
        <v>0</v>
      </c>
    </row>
    <row r="953" spans="42:42">
      <c r="AP953">
        <f ca="1"/>
        <v>0</v>
      </c>
    </row>
    <row r="954" spans="42:42">
      <c r="AP954">
        <f ca="1"/>
        <v>0</v>
      </c>
    </row>
    <row r="955" spans="42:42">
      <c r="AP955">
        <f ca="1"/>
        <v>0</v>
      </c>
    </row>
    <row r="956" spans="42:42">
      <c r="AP956">
        <f ca="1"/>
        <v>0</v>
      </c>
    </row>
    <row r="957" spans="42:42">
      <c r="AP957">
        <f ca="1"/>
        <v>0</v>
      </c>
    </row>
    <row r="958" spans="42:42">
      <c r="AP958">
        <f ca="1"/>
        <v>0</v>
      </c>
    </row>
    <row r="959" spans="42:42">
      <c r="AP959">
        <f ca="1"/>
        <v>0</v>
      </c>
    </row>
    <row r="960" spans="42:42">
      <c r="AP960">
        <f ca="1"/>
        <v>0</v>
      </c>
    </row>
    <row r="961" spans="42:42">
      <c r="AP961">
        <f ca="1"/>
        <v>0</v>
      </c>
    </row>
    <row r="962" spans="42:42">
      <c r="AP962">
        <f ca="1"/>
        <v>0</v>
      </c>
    </row>
    <row r="963" spans="42:42">
      <c r="AP963">
        <f ca="1"/>
        <v>0</v>
      </c>
    </row>
    <row r="964" spans="42:42">
      <c r="AP964">
        <f ca="1"/>
        <v>0</v>
      </c>
    </row>
    <row r="965" spans="42:42">
      <c r="AP965">
        <f ca="1"/>
        <v>0</v>
      </c>
    </row>
    <row r="966" spans="42:42">
      <c r="AP966">
        <f ca="1"/>
        <v>0</v>
      </c>
    </row>
    <row r="967" spans="42:42">
      <c r="AP967">
        <f ca="1"/>
        <v>0</v>
      </c>
    </row>
    <row r="968" spans="42:42">
      <c r="AP968">
        <f ca="1"/>
        <v>0</v>
      </c>
    </row>
    <row r="969" spans="42:42">
      <c r="AP969">
        <f ca="1"/>
        <v>0</v>
      </c>
    </row>
    <row r="970" spans="42:42">
      <c r="AP970">
        <f ca="1"/>
        <v>0</v>
      </c>
    </row>
    <row r="971" spans="42:42">
      <c r="AP971">
        <f ca="1"/>
        <v>0</v>
      </c>
    </row>
    <row r="972" spans="42:42">
      <c r="AP972">
        <f ca="1"/>
        <v>0</v>
      </c>
    </row>
    <row r="973" spans="42:42">
      <c r="AP973">
        <f ca="1"/>
        <v>0</v>
      </c>
    </row>
    <row r="974" spans="42:42">
      <c r="AP974">
        <f ca="1"/>
        <v>0</v>
      </c>
    </row>
    <row r="975" spans="42:42">
      <c r="AP975">
        <f ca="1"/>
        <v>0</v>
      </c>
    </row>
    <row r="976" spans="42:42">
      <c r="AP976">
        <f ca="1"/>
        <v>0</v>
      </c>
    </row>
    <row r="977" spans="42:42">
      <c r="AP977">
        <f ca="1"/>
        <v>0</v>
      </c>
    </row>
    <row r="978" spans="42:42">
      <c r="AP978">
        <f ca="1"/>
        <v>0</v>
      </c>
    </row>
    <row r="979" spans="42:42">
      <c r="AP979">
        <f ca="1"/>
        <v>0</v>
      </c>
    </row>
    <row r="980" spans="42:42">
      <c r="AP980">
        <f ca="1"/>
        <v>0</v>
      </c>
    </row>
    <row r="981" spans="42:42">
      <c r="AP981">
        <f ca="1"/>
        <v>0</v>
      </c>
    </row>
    <row r="982" spans="42:42">
      <c r="AP982">
        <f ca="1"/>
        <v>0</v>
      </c>
    </row>
    <row r="983" spans="42:42">
      <c r="AP983">
        <f ca="1"/>
        <v>0</v>
      </c>
    </row>
    <row r="984" spans="42:42">
      <c r="AP984">
        <f ca="1"/>
        <v>0</v>
      </c>
    </row>
    <row r="985" spans="42:42">
      <c r="AP985">
        <f ca="1"/>
        <v>0</v>
      </c>
    </row>
    <row r="986" spans="42:42">
      <c r="AP986">
        <f ca="1"/>
        <v>0</v>
      </c>
    </row>
    <row r="987" spans="42:42">
      <c r="AP987">
        <f ca="1"/>
        <v>0</v>
      </c>
    </row>
    <row r="988" spans="42:42">
      <c r="AP988">
        <f ca="1"/>
        <v>0</v>
      </c>
    </row>
    <row r="989" spans="42:42">
      <c r="AP989">
        <f ca="1"/>
        <v>0</v>
      </c>
    </row>
    <row r="990" spans="42:42">
      <c r="AP990">
        <f ca="1"/>
        <v>0</v>
      </c>
    </row>
    <row r="991" spans="42:42">
      <c r="AP991">
        <f ca="1"/>
        <v>0</v>
      </c>
    </row>
    <row r="992" spans="42:42">
      <c r="AP992">
        <f ca="1"/>
        <v>0</v>
      </c>
    </row>
    <row r="993" spans="42:42">
      <c r="AP993">
        <f ca="1"/>
        <v>0</v>
      </c>
    </row>
    <row r="994" spans="42:42">
      <c r="AP994">
        <f ca="1"/>
        <v>0</v>
      </c>
    </row>
    <row r="995" spans="42:42">
      <c r="AP995">
        <f ca="1"/>
        <v>0</v>
      </c>
    </row>
    <row r="996" spans="42:42">
      <c r="AP996">
        <f ca="1"/>
        <v>0</v>
      </c>
    </row>
    <row r="997" spans="42:42">
      <c r="AP997">
        <f ca="1"/>
        <v>0</v>
      </c>
    </row>
    <row r="998" spans="42:42">
      <c r="AP998">
        <f ca="1"/>
        <v>0</v>
      </c>
    </row>
    <row r="999" spans="42:42">
      <c r="AP999">
        <f ca="1"/>
        <v>0</v>
      </c>
    </row>
    <row r="1000" spans="42:42">
      <c r="AP1000">
        <f ca="1"/>
        <v>0</v>
      </c>
    </row>
  </sheetData>
  <sheetProtection algorithmName="SHA-512" hashValue="QDHPkzvnLgmV4yWt9Z0kvrK3xq2VKdajgS8MA093AmFMjupdwazTdStlNKOH5bg7m+mWUVan3F8xJwTs75zL3g==" saltValue="CdV/wAlMAXGRebwOQtmWjg==" spinCount="100000" sheet="1" objects="1" scenarios="1"/>
  <dataValidations count="1">
    <dataValidation type="custom" allowBlank="1" showInputMessage="1" showErrorMessage="1" errorTitle="Duplicate" error="Duplicate Entry" sqref="B66:B108" xr:uid="{7B9A75DD-5951-423E-B1DF-5238EA91BF90}">
      <formula1>COUNTIF($A$2:$A$601,B66)&lt;2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23891-D49B-4EDF-86C5-0E66F42DEBB1}">
  <sheetPr codeName="Feuil9"/>
  <dimension ref="A1:AH95"/>
  <sheetViews>
    <sheetView showGridLines="0" showRowColHeaders="0" topLeftCell="A6" zoomScale="99" zoomScaleNormal="99" zoomScaleSheetLayoutView="96" workbookViewId="0">
      <selection activeCell="AB18" sqref="AB18"/>
    </sheetView>
  </sheetViews>
  <sheetFormatPr baseColWidth="10" defaultColWidth="11.453125" defaultRowHeight="14.5"/>
  <cols>
    <col min="1" max="4" width="4" customWidth="1"/>
    <col min="5" max="5" width="4.26953125" customWidth="1"/>
    <col min="6" max="6" width="6.1796875" customWidth="1"/>
    <col min="7" max="8" width="5.54296875" customWidth="1"/>
    <col min="9" max="9" width="5.453125" customWidth="1"/>
    <col min="10" max="10" width="3" customWidth="1"/>
    <col min="11" max="11" width="6.1796875" customWidth="1"/>
    <col min="12" max="12" width="5.453125" customWidth="1"/>
    <col min="13" max="14" width="5.81640625" customWidth="1"/>
    <col min="15" max="16" width="5.26953125" customWidth="1"/>
    <col min="17" max="17" width="3.7265625" customWidth="1"/>
    <col min="18" max="19" width="5.54296875" customWidth="1"/>
    <col min="20" max="21" width="5.81640625" customWidth="1"/>
    <col min="22" max="22" width="4.81640625" customWidth="1"/>
    <col min="23" max="23" width="4.54296875" customWidth="1"/>
    <col min="24" max="24" width="4" customWidth="1"/>
    <col min="25" max="26" width="4.7265625" customWidth="1"/>
  </cols>
  <sheetData>
    <row r="1" spans="1:34" ht="9" customHeight="1">
      <c r="Z1" s="131"/>
    </row>
    <row r="2" spans="1:34" ht="14.15" customHeight="1">
      <c r="R2" s="1"/>
      <c r="S2" s="1"/>
      <c r="T2" s="2"/>
      <c r="U2" s="3"/>
      <c r="V2" s="884"/>
      <c r="W2" s="884"/>
      <c r="X2" s="884"/>
      <c r="Z2" s="4"/>
      <c r="AA2" s="4"/>
    </row>
    <row r="3" spans="1:34" ht="14.15" customHeight="1" thickBot="1"/>
    <row r="4" spans="1:34" ht="14.15" customHeight="1">
      <c r="N4" s="885" t="s">
        <v>202</v>
      </c>
      <c r="O4" s="886"/>
      <c r="P4" s="886"/>
      <c r="Q4" s="886"/>
      <c r="R4" s="887" t="str">
        <f>IF(Data!F6="","",Data!F6)</f>
        <v>SUURHUSEN</v>
      </c>
      <c r="S4" s="887"/>
      <c r="T4" s="887"/>
      <c r="U4" s="887"/>
      <c r="V4" s="887"/>
      <c r="W4" s="887"/>
      <c r="X4" s="888"/>
      <c r="Z4" s="5"/>
      <c r="AA4" s="5"/>
      <c r="AB4" s="5"/>
    </row>
    <row r="5" spans="1:34" ht="14.15" customHeight="1">
      <c r="N5" s="889" t="s">
        <v>36</v>
      </c>
      <c r="O5" s="890"/>
      <c r="P5" s="890"/>
      <c r="Q5" s="890"/>
      <c r="R5" s="891" t="str">
        <f>IF(Data!F8="","",Data!F8)</f>
        <v>ST SC</v>
      </c>
      <c r="S5" s="891"/>
      <c r="T5" s="892"/>
      <c r="U5" s="892"/>
      <c r="V5" s="891"/>
      <c r="W5" s="891"/>
      <c r="X5" s="893"/>
    </row>
    <row r="6" spans="1:34" ht="14.15" customHeight="1">
      <c r="N6" s="889" t="s">
        <v>114</v>
      </c>
      <c r="O6" s="890"/>
      <c r="P6" s="890"/>
      <c r="Q6" s="890"/>
      <c r="R6" s="894">
        <f>IF(Data!F16="","",Data!F16)</f>
        <v>3098.2950000000001</v>
      </c>
      <c r="S6" s="895"/>
      <c r="T6" s="896" t="str">
        <f>IF(R6="","","MT  Dated")</f>
        <v>MT  Dated</v>
      </c>
      <c r="U6" s="896"/>
      <c r="V6" s="897">
        <f>IF(Data!F18="","",Data!F18)</f>
        <v>44709</v>
      </c>
      <c r="W6" s="897"/>
      <c r="X6" s="898"/>
    </row>
    <row r="7" spans="1:34" ht="15" customHeight="1">
      <c r="N7" s="889" t="s">
        <v>39</v>
      </c>
      <c r="O7" s="890"/>
      <c r="P7" s="890"/>
      <c r="Q7" s="890"/>
      <c r="R7" s="891" t="str">
        <f>IF(Data!F12="","",Data!F12)</f>
        <v xml:space="preserve">MIDDLESBROUGH </v>
      </c>
      <c r="S7" s="891"/>
      <c r="T7" s="899"/>
      <c r="U7" s="899"/>
      <c r="V7" s="891"/>
      <c r="W7" s="891"/>
      <c r="X7" s="893"/>
    </row>
    <row r="8" spans="1:34" ht="14.15" customHeight="1" thickBot="1">
      <c r="N8" s="900" t="s">
        <v>203</v>
      </c>
      <c r="O8" s="901"/>
      <c r="P8" s="901"/>
      <c r="Q8" s="901"/>
      <c r="R8" s="902" t="str">
        <f>IF(Data!F14="","",Data!F14)</f>
        <v>CASABLANCA</v>
      </c>
      <c r="S8" s="902"/>
      <c r="T8" s="902"/>
      <c r="U8" s="902"/>
      <c r="V8" s="902"/>
      <c r="W8" s="902"/>
      <c r="X8" s="903"/>
    </row>
    <row r="9" spans="1:34" ht="12.75" customHeight="1">
      <c r="E9" s="6"/>
    </row>
    <row r="10" spans="1:34" ht="21" customHeight="1">
      <c r="F10" s="904" t="s">
        <v>115</v>
      </c>
      <c r="G10" s="904"/>
      <c r="H10" s="904"/>
      <c r="I10" s="904"/>
      <c r="J10" s="904"/>
      <c r="K10" s="904"/>
      <c r="L10" s="904"/>
      <c r="M10" s="904"/>
      <c r="N10" s="904"/>
      <c r="O10" s="904"/>
      <c r="P10" s="904"/>
      <c r="Q10" s="904"/>
      <c r="R10" s="904"/>
      <c r="S10" s="904"/>
      <c r="X10" s="7"/>
    </row>
    <row r="11" spans="1:34" ht="17.25" customHeight="1" thickBot="1"/>
    <row r="12" spans="1:34" s="1" customFormat="1" ht="16.5" customHeight="1">
      <c r="A12" s="134" t="s">
        <v>29</v>
      </c>
      <c r="B12" s="25"/>
      <c r="C12" s="25"/>
      <c r="D12" s="25"/>
      <c r="E12" s="26" t="s">
        <v>116</v>
      </c>
      <c r="F12" s="29" t="str">
        <f>IF(Data!F2="","",Data!F2)</f>
        <v>ANTIGUA &amp; BARBUDA</v>
      </c>
      <c r="G12" s="29"/>
      <c r="H12" s="29"/>
      <c r="I12" s="29"/>
      <c r="J12" s="135"/>
      <c r="K12" s="25" t="s">
        <v>117</v>
      </c>
      <c r="L12" s="25"/>
      <c r="M12" s="26" t="s">
        <v>116</v>
      </c>
      <c r="N12" s="905">
        <f>IF(Data!S20="","",Data!S20)</f>
        <v>84.99</v>
      </c>
      <c r="O12" s="905"/>
      <c r="P12" s="29"/>
      <c r="Q12" s="135"/>
      <c r="R12" s="25" t="s">
        <v>46</v>
      </c>
      <c r="S12" s="25"/>
      <c r="T12" s="25"/>
      <c r="U12" s="26" t="s">
        <v>116</v>
      </c>
      <c r="V12" s="880">
        <f>IF(Data!T26="","",Data!T26)</f>
        <v>1</v>
      </c>
      <c r="W12" s="880"/>
      <c r="X12" s="881"/>
    </row>
    <row r="13" spans="1:34" s="1" customFormat="1" ht="16.5" customHeight="1">
      <c r="A13" s="65" t="s">
        <v>32</v>
      </c>
      <c r="B13" s="12"/>
      <c r="C13" s="12"/>
      <c r="D13" s="12"/>
      <c r="E13" s="13" t="s">
        <v>116</v>
      </c>
      <c r="F13" s="14" t="str">
        <f>IF(Data!F4="","",Data!F4)</f>
        <v>ST JOHN'S</v>
      </c>
      <c r="G13" s="14"/>
      <c r="H13" s="14"/>
      <c r="I13" s="14"/>
      <c r="J13" s="128"/>
      <c r="K13" s="12" t="s">
        <v>118</v>
      </c>
      <c r="L13" s="12"/>
      <c r="M13" s="13" t="s">
        <v>116</v>
      </c>
      <c r="N13" s="906">
        <f>IF(Data!S22="","",Data!S22)</f>
        <v>89.77</v>
      </c>
      <c r="O13" s="906"/>
      <c r="P13" s="14"/>
      <c r="Q13" s="128"/>
      <c r="R13" s="12" t="s">
        <v>207</v>
      </c>
      <c r="S13" s="12"/>
      <c r="T13" s="12"/>
      <c r="U13" s="12"/>
      <c r="V13" s="882">
        <f>IF(Data!T28="","",Data!T28)</f>
        <v>23</v>
      </c>
      <c r="W13" s="882"/>
      <c r="X13" s="883"/>
      <c r="AC13" s="128"/>
      <c r="AD13" s="128"/>
      <c r="AE13" s="128"/>
      <c r="AF13" s="128"/>
      <c r="AG13" s="128"/>
      <c r="AH13" s="128"/>
    </row>
    <row r="14" spans="1:34" s="1" customFormat="1" ht="16.5" customHeight="1">
      <c r="A14" s="65" t="s">
        <v>119</v>
      </c>
      <c r="B14" s="12"/>
      <c r="C14" s="12"/>
      <c r="D14" s="12"/>
      <c r="E14" s="13" t="s">
        <v>116</v>
      </c>
      <c r="F14" s="914">
        <f>IF(Data!G20="","",Data!G20)</f>
        <v>2805</v>
      </c>
      <c r="G14" s="914"/>
      <c r="H14" s="914"/>
      <c r="I14" s="14"/>
      <c r="J14" s="136"/>
      <c r="K14" s="12" t="s">
        <v>120</v>
      </c>
      <c r="L14" s="12"/>
      <c r="M14" s="13" t="s">
        <v>116</v>
      </c>
      <c r="N14" s="906">
        <f>IF(Data!S24="","",Data!S24)</f>
        <v>13.17</v>
      </c>
      <c r="O14" s="906"/>
      <c r="P14" s="14"/>
      <c r="Q14" s="128"/>
      <c r="R14" s="12" t="s">
        <v>121</v>
      </c>
      <c r="S14" s="12"/>
      <c r="T14" s="12"/>
      <c r="U14" s="16" t="s">
        <v>208</v>
      </c>
      <c r="V14" s="906">
        <f>IF(Data!G24="","",Data!G24)</f>
        <v>5.6779999999999999</v>
      </c>
      <c r="W14" s="906"/>
      <c r="X14" s="915"/>
      <c r="AC14" s="930"/>
      <c r="AD14" s="930"/>
      <c r="AE14" s="930"/>
      <c r="AF14" s="930"/>
      <c r="AG14" s="930"/>
      <c r="AH14" s="930"/>
    </row>
    <row r="15" spans="1:34" s="1" customFormat="1" ht="16.5" customHeight="1">
      <c r="A15" s="65" t="s">
        <v>122</v>
      </c>
      <c r="B15" s="12"/>
      <c r="C15" s="12"/>
      <c r="D15" s="12"/>
      <c r="E15" s="13" t="s">
        <v>116</v>
      </c>
      <c r="F15" s="914">
        <f>IF(Data!G22="","",Data!G22)</f>
        <v>1568</v>
      </c>
      <c r="G15" s="914"/>
      <c r="H15" s="914"/>
      <c r="I15" s="14"/>
      <c r="J15" s="136"/>
      <c r="K15" s="12" t="s">
        <v>26</v>
      </c>
      <c r="L15" s="12"/>
      <c r="M15" s="13" t="s">
        <v>116</v>
      </c>
      <c r="N15" s="916">
        <f>IF(Data!G30="","",Data!G30)</f>
        <v>1287</v>
      </c>
      <c r="O15" s="916"/>
      <c r="P15" s="14"/>
      <c r="Q15" s="128"/>
      <c r="R15" s="12" t="s">
        <v>209</v>
      </c>
      <c r="S15" s="12"/>
      <c r="T15" s="12"/>
      <c r="U15" s="12"/>
      <c r="V15" s="906">
        <f>IF(Data!G28="","",Data!G28)</f>
        <v>4231</v>
      </c>
      <c r="W15" s="906"/>
      <c r="X15" s="915"/>
      <c r="AC15" s="930"/>
      <c r="AD15" s="931"/>
      <c r="AE15" s="931"/>
      <c r="AF15" s="931"/>
      <c r="AG15" s="931"/>
      <c r="AH15" s="931"/>
    </row>
    <row r="16" spans="1:34" ht="5.25" customHeight="1" thickBot="1">
      <c r="A16" s="137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40"/>
      <c r="AC16" s="932"/>
      <c r="AD16" s="931"/>
      <c r="AE16" s="931"/>
      <c r="AF16" s="931"/>
      <c r="AG16" s="931"/>
      <c r="AH16" s="931"/>
    </row>
    <row r="17" spans="1:34" ht="5.25" customHeight="1">
      <c r="A17" s="141"/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42"/>
      <c r="U17" s="142"/>
      <c r="V17" s="135"/>
      <c r="W17" s="135"/>
      <c r="X17" s="143"/>
      <c r="AC17" s="932"/>
      <c r="AD17" s="931"/>
      <c r="AE17" s="931"/>
      <c r="AF17" s="931"/>
      <c r="AG17" s="931"/>
      <c r="AH17" s="931"/>
    </row>
    <row r="18" spans="1:34" s="1" customFormat="1" ht="16.5" customHeight="1">
      <c r="A18" s="908" t="s">
        <v>30</v>
      </c>
      <c r="B18" s="909"/>
      <c r="C18" s="909"/>
      <c r="D18" s="909"/>
      <c r="E18" s="909"/>
      <c r="F18" s="909"/>
      <c r="G18" s="910">
        <f>IF(Data!S2="","",Data!S2)</f>
        <v>44764</v>
      </c>
      <c r="H18" s="910"/>
      <c r="I18" s="17" t="s">
        <v>31</v>
      </c>
      <c r="J18" s="911">
        <f>Data!W2</f>
        <v>0.5</v>
      </c>
      <c r="K18" s="911"/>
      <c r="L18" s="128"/>
      <c r="M18" s="128"/>
      <c r="N18" s="912" t="s">
        <v>35</v>
      </c>
      <c r="O18" s="912"/>
      <c r="P18" s="912"/>
      <c r="Q18" s="912"/>
      <c r="R18" s="912"/>
      <c r="S18" s="912"/>
      <c r="T18" s="910">
        <f>Data!S6</f>
        <v>45163</v>
      </c>
      <c r="U18" s="910"/>
      <c r="V18" s="17" t="s">
        <v>31</v>
      </c>
      <c r="W18" s="911">
        <f>Data!W6</f>
        <v>9</v>
      </c>
      <c r="X18" s="913"/>
      <c r="Y18" s="128"/>
      <c r="AC18" s="128"/>
      <c r="AD18" s="128"/>
      <c r="AE18" s="128"/>
      <c r="AF18" s="128"/>
      <c r="AG18" s="128"/>
      <c r="AH18" s="128"/>
    </row>
    <row r="19" spans="1:34" s="1" customFormat="1" ht="16.5" customHeight="1">
      <c r="A19" s="923" t="s">
        <v>33</v>
      </c>
      <c r="B19" s="924"/>
      <c r="C19" s="924"/>
      <c r="D19" s="924"/>
      <c r="E19" s="924"/>
      <c r="F19" s="924"/>
      <c r="G19" s="921">
        <f>IF(Data!S4="","",Data!S4)</f>
        <v>45163</v>
      </c>
      <c r="H19" s="921"/>
      <c r="I19" s="18" t="s">
        <v>31</v>
      </c>
      <c r="J19" s="925">
        <f>Data!W4</f>
        <v>0.5</v>
      </c>
      <c r="K19" s="925"/>
      <c r="L19" s="128"/>
      <c r="M19" s="128"/>
      <c r="N19" s="926" t="s">
        <v>37</v>
      </c>
      <c r="O19" s="924"/>
      <c r="P19" s="924"/>
      <c r="Q19" s="924"/>
      <c r="R19" s="924"/>
      <c r="S19" s="924"/>
      <c r="T19" s="921">
        <f>Data!S8</f>
        <v>45163</v>
      </c>
      <c r="U19" s="921"/>
      <c r="V19" s="18" t="s">
        <v>31</v>
      </c>
      <c r="W19" s="922">
        <f>Data!W8</f>
        <v>0.375</v>
      </c>
      <c r="X19" s="927"/>
      <c r="Y19" s="128"/>
    </row>
    <row r="20" spans="1:34" s="1" customFormat="1" ht="16.5" customHeight="1">
      <c r="A20" s="919" t="s">
        <v>204</v>
      </c>
      <c r="B20" s="920"/>
      <c r="C20" s="920"/>
      <c r="D20" s="920"/>
      <c r="E20" s="920"/>
      <c r="F20" s="920"/>
      <c r="G20" s="921">
        <f>IF(Data!S10="","",Data!S10)</f>
        <v>45194</v>
      </c>
      <c r="H20" s="921"/>
      <c r="I20" s="18" t="s">
        <v>31</v>
      </c>
      <c r="J20" s="922">
        <f>Data!W10</f>
        <v>0.54791666666666672</v>
      </c>
      <c r="K20" s="922"/>
      <c r="L20" s="128"/>
      <c r="M20" s="128"/>
      <c r="N20" s="912" t="s">
        <v>41</v>
      </c>
      <c r="O20" s="912"/>
      <c r="P20" s="912"/>
      <c r="Q20" s="912"/>
      <c r="R20" s="912"/>
      <c r="S20" s="912"/>
      <c r="T20" s="921">
        <f>Data!S14</f>
        <v>40079</v>
      </c>
      <c r="U20" s="921"/>
      <c r="V20" s="18" t="s">
        <v>31</v>
      </c>
      <c r="W20" s="917">
        <f>Data!W14</f>
        <v>0.50624999999999998</v>
      </c>
      <c r="X20" s="918"/>
    </row>
    <row r="21" spans="1:34" s="1" customFormat="1" ht="16.5" customHeight="1">
      <c r="A21" s="928" t="s">
        <v>204</v>
      </c>
      <c r="B21" s="929"/>
      <c r="C21" s="929"/>
      <c r="D21" s="929"/>
      <c r="E21" s="929"/>
      <c r="F21" s="929"/>
      <c r="G21" s="921">
        <f>Data!S10</f>
        <v>45194</v>
      </c>
      <c r="H21" s="921"/>
      <c r="I21" s="18" t="s">
        <v>31</v>
      </c>
      <c r="J21" s="917">
        <f>Data!W10</f>
        <v>0.54791666666666672</v>
      </c>
      <c r="K21" s="917"/>
      <c r="L21" s="128"/>
      <c r="M21" s="128"/>
      <c r="N21" s="929" t="s">
        <v>41</v>
      </c>
      <c r="O21" s="929"/>
      <c r="P21" s="929"/>
      <c r="Q21" s="929"/>
      <c r="R21" s="929"/>
      <c r="S21" s="127"/>
      <c r="T21" s="921">
        <f>Data!S16</f>
        <v>0</v>
      </c>
      <c r="U21" s="921"/>
      <c r="V21" s="18" t="s">
        <v>31</v>
      </c>
      <c r="W21" s="917" t="str">
        <f>Data!W16</f>
        <v/>
      </c>
      <c r="X21" s="918"/>
    </row>
    <row r="22" spans="1:34" ht="6" customHeight="1" thickBot="1">
      <c r="A22" s="144"/>
      <c r="B22" s="145"/>
      <c r="C22" s="145"/>
      <c r="D22" s="145"/>
      <c r="E22" s="145"/>
      <c r="F22" s="146"/>
      <c r="G22" s="147"/>
      <c r="H22" s="147"/>
      <c r="I22" s="148"/>
      <c r="J22" s="147"/>
      <c r="K22" s="147"/>
      <c r="L22" s="146"/>
      <c r="M22" s="146"/>
      <c r="N22" s="145"/>
      <c r="O22" s="145"/>
      <c r="P22" s="145"/>
      <c r="Q22" s="145"/>
      <c r="R22" s="145"/>
      <c r="S22" s="147"/>
      <c r="T22" s="147"/>
      <c r="U22" s="148"/>
      <c r="V22" s="147"/>
      <c r="W22" s="147"/>
      <c r="X22" s="149"/>
    </row>
    <row r="23" spans="1:34" ht="4.5" customHeight="1" thickBot="1">
      <c r="A23" s="21"/>
      <c r="B23" s="21"/>
      <c r="C23" s="21"/>
      <c r="D23" s="21"/>
      <c r="E23" s="21"/>
      <c r="G23" s="22"/>
      <c r="H23" s="22"/>
      <c r="I23" s="23"/>
      <c r="J23" s="22"/>
      <c r="K23" s="22"/>
      <c r="N23" s="21"/>
      <c r="O23" s="21"/>
      <c r="P23" s="21"/>
      <c r="Q23" s="21"/>
      <c r="R23" s="21"/>
      <c r="S23" s="22"/>
      <c r="T23" s="22"/>
      <c r="U23" s="23"/>
      <c r="V23" s="22"/>
      <c r="W23" s="22"/>
    </row>
    <row r="24" spans="1:34" ht="16.5" customHeight="1" thickBot="1">
      <c r="A24" s="943" t="s">
        <v>123</v>
      </c>
      <c r="B24" s="944"/>
      <c r="C24" s="944"/>
      <c r="D24" s="944"/>
      <c r="E24" s="944"/>
      <c r="F24" s="944"/>
      <c r="G24" s="944"/>
      <c r="H24" s="944"/>
      <c r="I24" s="944"/>
      <c r="J24" s="945"/>
      <c r="K24" s="24" t="s">
        <v>124</v>
      </c>
      <c r="L24" s="946" t="s">
        <v>2</v>
      </c>
      <c r="M24" s="946"/>
      <c r="N24" s="946"/>
      <c r="O24" s="946"/>
      <c r="P24" s="946"/>
      <c r="Q24" s="947"/>
      <c r="R24" s="948" t="s">
        <v>3</v>
      </c>
      <c r="S24" s="946"/>
      <c r="T24" s="946"/>
      <c r="U24" s="946"/>
      <c r="V24" s="946"/>
      <c r="W24" s="946"/>
      <c r="X24" s="949"/>
    </row>
    <row r="25" spans="1:34" ht="16.5" customHeight="1">
      <c r="A25" s="950" t="s">
        <v>199</v>
      </c>
      <c r="B25" s="951"/>
      <c r="C25" s="951"/>
      <c r="D25" s="951"/>
      <c r="E25" s="951"/>
      <c r="F25" s="952"/>
      <c r="G25" s="25"/>
      <c r="H25" s="25"/>
      <c r="I25" s="26" t="s">
        <v>38</v>
      </c>
      <c r="J25" s="27"/>
      <c r="K25" s="28" t="s">
        <v>125</v>
      </c>
      <c r="L25" s="29"/>
      <c r="M25" s="953">
        <f>IF(Data!H148="","",Data!H148)</f>
        <v>123</v>
      </c>
      <c r="N25" s="953"/>
      <c r="O25" s="30"/>
      <c r="P25" s="29"/>
      <c r="Q25" s="31"/>
      <c r="R25" s="32"/>
      <c r="S25" s="29"/>
      <c r="T25" s="953">
        <f>Data!N148</f>
        <v>205</v>
      </c>
      <c r="U25" s="953"/>
      <c r="V25" s="30"/>
      <c r="W25" s="29"/>
      <c r="X25" s="33"/>
    </row>
    <row r="26" spans="1:34" ht="16.5" customHeight="1">
      <c r="A26" s="936"/>
      <c r="B26" s="937"/>
      <c r="C26" s="937"/>
      <c r="D26" s="937"/>
      <c r="E26" s="937"/>
      <c r="F26" s="938"/>
      <c r="G26" s="12"/>
      <c r="H26" s="12"/>
      <c r="I26" s="13" t="s">
        <v>126</v>
      </c>
      <c r="J26" s="34"/>
      <c r="K26" s="35" t="s">
        <v>125</v>
      </c>
      <c r="L26" s="14"/>
      <c r="M26" s="879">
        <f>IF(Data!H149="","",Data!H149)</f>
        <v>123</v>
      </c>
      <c r="N26" s="879"/>
      <c r="O26" s="36"/>
      <c r="P26" s="14"/>
      <c r="Q26" s="15"/>
      <c r="R26" s="37"/>
      <c r="S26" s="14"/>
      <c r="T26" s="879">
        <f>Data!N149</f>
        <v>205</v>
      </c>
      <c r="U26" s="879"/>
      <c r="V26" s="36"/>
      <c r="W26" s="14"/>
      <c r="X26" s="38"/>
    </row>
    <row r="27" spans="1:34" ht="16.5" customHeight="1">
      <c r="A27" s="936"/>
      <c r="B27" s="937"/>
      <c r="C27" s="937"/>
      <c r="D27" s="937"/>
      <c r="E27" s="937"/>
      <c r="F27" s="938"/>
      <c r="G27" s="12"/>
      <c r="H27" s="12"/>
      <c r="I27" s="13" t="s">
        <v>127</v>
      </c>
      <c r="J27" s="39"/>
      <c r="K27" s="40" t="s">
        <v>125</v>
      </c>
      <c r="L27" s="41"/>
      <c r="M27" s="878">
        <f>IF(Data!H150="","",Data!H150)</f>
        <v>123</v>
      </c>
      <c r="N27" s="878"/>
      <c r="O27" s="42"/>
      <c r="P27" s="41"/>
      <c r="Q27" s="43"/>
      <c r="R27" s="44"/>
      <c r="S27" s="41"/>
      <c r="T27" s="879">
        <f>Data!N150</f>
        <v>205</v>
      </c>
      <c r="U27" s="879"/>
      <c r="V27" s="42"/>
      <c r="W27" s="41"/>
      <c r="X27" s="45"/>
    </row>
    <row r="28" spans="1:34" ht="16.5" customHeight="1">
      <c r="A28" s="936"/>
      <c r="B28" s="937"/>
      <c r="C28" s="937"/>
      <c r="D28" s="937"/>
      <c r="E28" s="937"/>
      <c r="F28" s="938"/>
      <c r="G28" s="12"/>
      <c r="H28" s="12"/>
      <c r="I28" s="13" t="s">
        <v>128</v>
      </c>
      <c r="J28" s="34"/>
      <c r="K28" s="35" t="s">
        <v>125</v>
      </c>
      <c r="L28" s="14"/>
      <c r="M28" s="879">
        <f>IF(Data!H151="","",Data!H151)</f>
        <v>-3.7401437443304726</v>
      </c>
      <c r="N28" s="879"/>
      <c r="O28" s="36"/>
      <c r="P28" s="14"/>
      <c r="Q28" s="15"/>
      <c r="R28" s="37"/>
      <c r="S28" s="14"/>
      <c r="T28" s="879">
        <f>Data!N151</f>
        <v>-2.3370352486721391</v>
      </c>
      <c r="U28" s="879"/>
      <c r="V28" s="36"/>
      <c r="W28" s="14"/>
      <c r="X28" s="38"/>
    </row>
    <row r="29" spans="1:34" ht="16.5" customHeight="1">
      <c r="A29" s="939"/>
      <c r="B29" s="940"/>
      <c r="C29" s="940"/>
      <c r="D29" s="940"/>
      <c r="E29" s="940"/>
      <c r="F29" s="941"/>
      <c r="G29" s="46"/>
      <c r="H29" s="46"/>
      <c r="I29" s="47" t="s">
        <v>129</v>
      </c>
      <c r="J29" s="48"/>
      <c r="K29" s="49" t="s">
        <v>125</v>
      </c>
      <c r="L29" s="50"/>
      <c r="M29" s="907">
        <f>IF(Data!H152="","",Data!H152)</f>
        <v>119.26</v>
      </c>
      <c r="N29" s="907"/>
      <c r="O29" s="51"/>
      <c r="P29" s="50"/>
      <c r="Q29" s="52"/>
      <c r="R29" s="53"/>
      <c r="S29" s="50"/>
      <c r="T29" s="907">
        <f>Data!N152</f>
        <v>202.66</v>
      </c>
      <c r="U29" s="907"/>
      <c r="V29" s="51"/>
      <c r="W29" s="50"/>
      <c r="X29" s="54"/>
    </row>
    <row r="30" spans="1:34" ht="16.5" customHeight="1">
      <c r="A30" s="933" t="s">
        <v>200</v>
      </c>
      <c r="B30" s="934"/>
      <c r="C30" s="934"/>
      <c r="D30" s="934"/>
      <c r="E30" s="934"/>
      <c r="F30" s="935"/>
      <c r="G30" s="8"/>
      <c r="H30" s="8"/>
      <c r="I30" s="9" t="s">
        <v>38</v>
      </c>
      <c r="J30" s="8"/>
      <c r="K30" s="55" t="s">
        <v>125</v>
      </c>
      <c r="L30" s="10"/>
      <c r="M30" s="942">
        <f>Data!H154</f>
        <v>523</v>
      </c>
      <c r="N30" s="942"/>
      <c r="O30" s="56"/>
      <c r="P30" s="10"/>
      <c r="Q30" s="10"/>
      <c r="R30" s="57"/>
      <c r="S30" s="10"/>
      <c r="T30" s="942">
        <f>Data!N154</f>
        <v>326</v>
      </c>
      <c r="U30" s="942"/>
      <c r="V30" s="56"/>
      <c r="W30" s="10"/>
      <c r="X30" s="58"/>
    </row>
    <row r="31" spans="1:34" ht="16.5" customHeight="1">
      <c r="A31" s="936"/>
      <c r="B31" s="937"/>
      <c r="C31" s="937"/>
      <c r="D31" s="937"/>
      <c r="E31" s="937"/>
      <c r="F31" s="938"/>
      <c r="G31" s="12"/>
      <c r="H31" s="12"/>
      <c r="I31" s="13" t="s">
        <v>126</v>
      </c>
      <c r="J31" s="12"/>
      <c r="K31" s="35" t="s">
        <v>125</v>
      </c>
      <c r="L31" s="14"/>
      <c r="M31" s="879">
        <f>Data!H155</f>
        <v>523</v>
      </c>
      <c r="N31" s="879"/>
      <c r="O31" s="36"/>
      <c r="P31" s="14"/>
      <c r="Q31" s="14"/>
      <c r="R31" s="37"/>
      <c r="S31" s="14"/>
      <c r="T31" s="879">
        <f>Data!N155</f>
        <v>326</v>
      </c>
      <c r="U31" s="879"/>
      <c r="V31" s="36"/>
      <c r="W31" s="14"/>
      <c r="X31" s="38"/>
    </row>
    <row r="32" spans="1:34" ht="16.5" customHeight="1">
      <c r="A32" s="936"/>
      <c r="B32" s="937"/>
      <c r="C32" s="937"/>
      <c r="D32" s="937"/>
      <c r="E32" s="937"/>
      <c r="F32" s="938"/>
      <c r="G32" s="12"/>
      <c r="H32" s="12"/>
      <c r="I32" s="13" t="s">
        <v>127</v>
      </c>
      <c r="J32" s="12"/>
      <c r="K32" s="35" t="s">
        <v>125</v>
      </c>
      <c r="L32" s="14"/>
      <c r="M32" s="879">
        <f>Data!H156</f>
        <v>523</v>
      </c>
      <c r="N32" s="879"/>
      <c r="O32" s="36"/>
      <c r="P32" s="14"/>
      <c r="Q32" s="14"/>
      <c r="R32" s="37"/>
      <c r="S32" s="14"/>
      <c r="T32" s="879">
        <f>Data!N156</f>
        <v>326</v>
      </c>
      <c r="U32" s="879"/>
      <c r="V32" s="36"/>
      <c r="W32" s="14"/>
      <c r="X32" s="38"/>
    </row>
    <row r="33" spans="1:24" ht="16.5" customHeight="1">
      <c r="A33" s="936"/>
      <c r="B33" s="937"/>
      <c r="C33" s="937"/>
      <c r="D33" s="937"/>
      <c r="E33" s="937"/>
      <c r="F33" s="938"/>
      <c r="G33" s="12"/>
      <c r="H33" s="12"/>
      <c r="I33" s="13" t="s">
        <v>128</v>
      </c>
      <c r="J33" s="12"/>
      <c r="K33" s="35" t="s">
        <v>125</v>
      </c>
      <c r="L33" s="14"/>
      <c r="M33" s="879">
        <f>Data!H157</f>
        <v>-8.3734561440234447</v>
      </c>
      <c r="N33" s="879"/>
      <c r="O33" s="36"/>
      <c r="P33" s="14"/>
      <c r="Q33" s="14"/>
      <c r="R33" s="37"/>
      <c r="S33" s="14"/>
      <c r="T33" s="879">
        <f>Data!N157</f>
        <v>0.80335586673104775</v>
      </c>
      <c r="U33" s="879"/>
      <c r="V33" s="36"/>
      <c r="W33" s="14"/>
      <c r="X33" s="38"/>
    </row>
    <row r="34" spans="1:24" ht="16.5" customHeight="1">
      <c r="A34" s="939"/>
      <c r="B34" s="940"/>
      <c r="C34" s="940"/>
      <c r="D34" s="940"/>
      <c r="E34" s="940"/>
      <c r="F34" s="941"/>
      <c r="G34" s="46"/>
      <c r="H34" s="46"/>
      <c r="I34" s="47" t="s">
        <v>130</v>
      </c>
      <c r="J34" s="46"/>
      <c r="K34" s="49" t="s">
        <v>125</v>
      </c>
      <c r="L34" s="50"/>
      <c r="M34" s="907">
        <f>Data!H158</f>
        <v>514.63</v>
      </c>
      <c r="N34" s="907"/>
      <c r="O34" s="51"/>
      <c r="P34" s="50"/>
      <c r="Q34" s="50"/>
      <c r="R34" s="53"/>
      <c r="S34" s="50"/>
      <c r="T34" s="907">
        <f>Data!N158</f>
        <v>326.8</v>
      </c>
      <c r="U34" s="907"/>
      <c r="V34" s="51"/>
      <c r="W34" s="50"/>
      <c r="X34" s="54"/>
    </row>
    <row r="35" spans="1:24" ht="16.5" customHeight="1">
      <c r="A35" s="933" t="s">
        <v>201</v>
      </c>
      <c r="B35" s="934"/>
      <c r="C35" s="934"/>
      <c r="D35" s="934"/>
      <c r="E35" s="934"/>
      <c r="F35" s="935"/>
      <c r="G35" s="8"/>
      <c r="H35" s="8"/>
      <c r="I35" s="9" t="s">
        <v>38</v>
      </c>
      <c r="J35" s="59"/>
      <c r="K35" s="55" t="s">
        <v>125</v>
      </c>
      <c r="L35" s="10"/>
      <c r="M35" s="942">
        <f>Data!H160</f>
        <v>505</v>
      </c>
      <c r="N35" s="942"/>
      <c r="O35" s="56"/>
      <c r="P35" s="10"/>
      <c r="Q35" s="11"/>
      <c r="R35" s="57"/>
      <c r="S35" s="10"/>
      <c r="T35" s="942">
        <f>Data!N160</f>
        <v>266</v>
      </c>
      <c r="U35" s="942"/>
      <c r="V35" s="56"/>
      <c r="W35" s="10"/>
      <c r="X35" s="58"/>
    </row>
    <row r="36" spans="1:24" ht="16.5" customHeight="1">
      <c r="A36" s="936"/>
      <c r="B36" s="937"/>
      <c r="C36" s="937"/>
      <c r="D36" s="937"/>
      <c r="E36" s="937"/>
      <c r="F36" s="938"/>
      <c r="G36" s="12"/>
      <c r="H36" s="12"/>
      <c r="I36" s="13" t="s">
        <v>126</v>
      </c>
      <c r="J36" s="34"/>
      <c r="K36" s="35" t="s">
        <v>125</v>
      </c>
      <c r="L36" s="14"/>
      <c r="M36" s="879">
        <f>Data!H161</f>
        <v>560</v>
      </c>
      <c r="N36" s="879"/>
      <c r="O36" s="36"/>
      <c r="P36" s="14"/>
      <c r="Q36" s="15"/>
      <c r="R36" s="37"/>
      <c r="S36" s="14"/>
      <c r="T36" s="879">
        <f>Data!N161</f>
        <v>266</v>
      </c>
      <c r="U36" s="879"/>
      <c r="V36" s="36"/>
      <c r="W36" s="14"/>
      <c r="X36" s="38"/>
    </row>
    <row r="37" spans="1:24" ht="16.5" customHeight="1">
      <c r="A37" s="936"/>
      <c r="B37" s="937"/>
      <c r="C37" s="937"/>
      <c r="D37" s="937"/>
      <c r="E37" s="937"/>
      <c r="F37" s="938"/>
      <c r="G37" s="12"/>
      <c r="H37" s="12"/>
      <c r="I37" s="13" t="s">
        <v>127</v>
      </c>
      <c r="J37" s="34"/>
      <c r="K37" s="35" t="s">
        <v>125</v>
      </c>
      <c r="L37" s="14"/>
      <c r="M37" s="879">
        <f>Data!H162</f>
        <v>532.5</v>
      </c>
      <c r="N37" s="879"/>
      <c r="O37" s="36"/>
      <c r="P37" s="14"/>
      <c r="Q37" s="15"/>
      <c r="R37" s="37"/>
      <c r="S37" s="14"/>
      <c r="T37" s="879">
        <f>Data!N162</f>
        <v>266</v>
      </c>
      <c r="U37" s="879"/>
      <c r="V37" s="36"/>
      <c r="W37" s="14"/>
      <c r="X37" s="38"/>
    </row>
    <row r="38" spans="1:24" ht="16.5" customHeight="1">
      <c r="A38" s="936"/>
      <c r="B38" s="937"/>
      <c r="C38" s="937"/>
      <c r="D38" s="937"/>
      <c r="E38" s="937"/>
      <c r="F38" s="938"/>
      <c r="G38" s="12"/>
      <c r="H38" s="12"/>
      <c r="I38" s="60" t="s">
        <v>131</v>
      </c>
      <c r="J38" s="34"/>
      <c r="K38" s="35" t="s">
        <v>125</v>
      </c>
      <c r="L38" s="14"/>
      <c r="M38" s="879">
        <f>Data!H163</f>
        <v>5.3962272928151096</v>
      </c>
      <c r="N38" s="879"/>
      <c r="O38" s="36"/>
      <c r="P38" s="14"/>
      <c r="Q38" s="15"/>
      <c r="R38" s="37"/>
      <c r="S38" s="14"/>
      <c r="T38" s="879">
        <f>Data!N163</f>
        <v>-2.4100676001931434</v>
      </c>
      <c r="U38" s="879"/>
      <c r="V38" s="36"/>
      <c r="W38" s="14"/>
      <c r="X38" s="38"/>
    </row>
    <row r="39" spans="1:24" ht="16.5" customHeight="1">
      <c r="A39" s="939"/>
      <c r="B39" s="940"/>
      <c r="C39" s="940"/>
      <c r="D39" s="940"/>
      <c r="E39" s="940"/>
      <c r="F39" s="941"/>
      <c r="G39" s="46"/>
      <c r="H39" s="46"/>
      <c r="I39" s="61" t="s">
        <v>132</v>
      </c>
      <c r="J39" s="48"/>
      <c r="K39" s="49" t="s">
        <v>125</v>
      </c>
      <c r="L39" s="50"/>
      <c r="M39" s="907">
        <f>Data!H164</f>
        <v>537.9</v>
      </c>
      <c r="N39" s="907"/>
      <c r="O39" s="51"/>
      <c r="P39" s="50"/>
      <c r="Q39" s="52"/>
      <c r="R39" s="53"/>
      <c r="S39" s="50"/>
      <c r="T39" s="907">
        <f>Data!N164</f>
        <v>263.58999999999997</v>
      </c>
      <c r="U39" s="907"/>
      <c r="V39" s="51"/>
      <c r="W39" s="50"/>
      <c r="X39" s="54"/>
    </row>
    <row r="40" spans="1:24" ht="16.5" customHeight="1">
      <c r="A40" s="62"/>
      <c r="B40" s="63"/>
      <c r="C40" s="63"/>
      <c r="D40" s="63"/>
      <c r="E40" s="63"/>
      <c r="F40" s="63"/>
      <c r="G40" s="63"/>
      <c r="H40" s="63"/>
      <c r="I40" s="64" t="s">
        <v>133</v>
      </c>
      <c r="J40" s="63"/>
      <c r="K40" s="40" t="s">
        <v>125</v>
      </c>
      <c r="L40" s="41"/>
      <c r="M40" s="878">
        <f>Data!H166</f>
        <v>316.94499999999999</v>
      </c>
      <c r="N40" s="878"/>
      <c r="O40" s="41"/>
      <c r="P40" s="41"/>
      <c r="Q40" s="43"/>
      <c r="R40" s="44"/>
      <c r="S40" s="41"/>
      <c r="T40" s="878">
        <f>Data!N166</f>
        <v>264.73</v>
      </c>
      <c r="U40" s="878"/>
      <c r="V40" s="41"/>
      <c r="W40" s="41"/>
      <c r="X40" s="45"/>
    </row>
    <row r="41" spans="1:24" ht="16.5" customHeight="1">
      <c r="A41" s="65"/>
      <c r="B41" s="12"/>
      <c r="C41" s="12"/>
      <c r="D41" s="12"/>
      <c r="E41" s="12"/>
      <c r="F41" s="12"/>
      <c r="G41" s="12"/>
      <c r="H41" s="12"/>
      <c r="I41" s="66" t="s">
        <v>134</v>
      </c>
      <c r="J41" s="12"/>
      <c r="K41" s="35" t="s">
        <v>125</v>
      </c>
      <c r="L41" s="14"/>
      <c r="M41" s="879">
        <f>Data!H167</f>
        <v>427.42250000000001</v>
      </c>
      <c r="N41" s="879"/>
      <c r="O41" s="14"/>
      <c r="P41" s="14"/>
      <c r="Q41" s="15"/>
      <c r="R41" s="37"/>
      <c r="S41" s="14"/>
      <c r="T41" s="879">
        <f>Data!N167</f>
        <v>264.15999999999997</v>
      </c>
      <c r="U41" s="879"/>
      <c r="V41" s="14"/>
      <c r="W41" s="14"/>
      <c r="X41" s="38"/>
    </row>
    <row r="42" spans="1:24" ht="16.5" customHeight="1">
      <c r="A42" s="67"/>
      <c r="B42" s="68"/>
      <c r="C42" s="68"/>
      <c r="D42" s="68"/>
      <c r="E42" s="68"/>
      <c r="F42" s="68"/>
      <c r="G42" s="46"/>
      <c r="H42" s="46"/>
      <c r="I42" s="69" t="s">
        <v>135</v>
      </c>
      <c r="J42" s="46"/>
      <c r="K42" s="49" t="s">
        <v>43</v>
      </c>
      <c r="L42" s="50"/>
      <c r="M42" s="907">
        <f>Data!H168</f>
        <v>482.66125</v>
      </c>
      <c r="N42" s="907"/>
      <c r="O42" s="51"/>
      <c r="P42" s="50"/>
      <c r="Q42" s="52"/>
      <c r="R42" s="53"/>
      <c r="S42" s="50"/>
      <c r="T42" s="907">
        <f>Data!N168</f>
        <v>263.875</v>
      </c>
      <c r="U42" s="907"/>
      <c r="V42" s="51"/>
      <c r="W42" s="50"/>
      <c r="X42" s="54"/>
    </row>
    <row r="43" spans="1:24" ht="16.5" customHeight="1">
      <c r="A43" s="70"/>
      <c r="B43" s="71"/>
      <c r="C43" s="71"/>
      <c r="D43" s="63"/>
      <c r="E43" s="63"/>
      <c r="F43" s="63"/>
      <c r="G43" s="63"/>
      <c r="H43" s="63"/>
      <c r="I43" s="64" t="s">
        <v>136</v>
      </c>
      <c r="J43" s="39"/>
      <c r="K43" s="40" t="s">
        <v>43</v>
      </c>
      <c r="L43" s="916">
        <f>Data!H170</f>
        <v>6502.18</v>
      </c>
      <c r="M43" s="916"/>
      <c r="N43" s="916"/>
      <c r="O43" s="41"/>
      <c r="P43" s="41"/>
      <c r="Q43" s="43"/>
      <c r="R43" s="44"/>
      <c r="S43" s="916">
        <f>Data!M170</f>
        <v>4431.68</v>
      </c>
      <c r="T43" s="972"/>
      <c r="U43" s="972"/>
      <c r="V43" s="41"/>
      <c r="W43" s="41"/>
      <c r="X43" s="45"/>
    </row>
    <row r="44" spans="1:24" ht="16.5" customHeight="1">
      <c r="A44" s="72"/>
      <c r="B44" s="73"/>
      <c r="C44" s="73"/>
      <c r="D44" s="12"/>
      <c r="E44" s="12"/>
      <c r="F44" s="12"/>
      <c r="G44" s="12"/>
      <c r="H44" s="12"/>
      <c r="I44" s="66" t="s">
        <v>137</v>
      </c>
      <c r="J44" s="34"/>
      <c r="K44" s="35" t="s">
        <v>43</v>
      </c>
      <c r="L44" s="973">
        <f>Data!H175</f>
        <v>244.65200000000002</v>
      </c>
      <c r="M44" s="973"/>
      <c r="N44" s="973"/>
      <c r="O44" s="14"/>
      <c r="P44" s="14"/>
      <c r="Q44" s="15"/>
      <c r="R44" s="37"/>
      <c r="S44" s="973">
        <f>Data!M175</f>
        <v>0.5210000000000008</v>
      </c>
      <c r="T44" s="971"/>
      <c r="U44" s="971"/>
      <c r="V44" s="14"/>
      <c r="W44" s="14"/>
      <c r="X44" s="38"/>
    </row>
    <row r="45" spans="1:24" ht="16.5" customHeight="1">
      <c r="A45" s="72"/>
      <c r="B45" s="73"/>
      <c r="C45" s="73"/>
      <c r="D45" s="12"/>
      <c r="E45" s="12"/>
      <c r="F45" s="12"/>
      <c r="G45" s="12"/>
      <c r="H45" s="12"/>
      <c r="I45" s="66" t="s">
        <v>138</v>
      </c>
      <c r="J45" s="34"/>
      <c r="K45" s="35" t="s">
        <v>43</v>
      </c>
      <c r="L45" s="906">
        <f>IF(L43="","",+L43+L44)</f>
        <v>6746.8320000000003</v>
      </c>
      <c r="M45" s="971"/>
      <c r="N45" s="971"/>
      <c r="O45" s="14"/>
      <c r="P45" s="14"/>
      <c r="Q45" s="15"/>
      <c r="R45" s="37"/>
      <c r="S45" s="906">
        <f>IF(S43="","",+S43+S44)</f>
        <v>4432.201</v>
      </c>
      <c r="T45" s="971"/>
      <c r="U45" s="971"/>
      <c r="V45" s="14"/>
      <c r="W45" s="14"/>
      <c r="X45" s="38"/>
    </row>
    <row r="46" spans="1:24" ht="16.5" customHeight="1">
      <c r="A46" s="72"/>
      <c r="B46" s="73"/>
      <c r="C46" s="73"/>
      <c r="D46" s="12"/>
      <c r="E46" s="12"/>
      <c r="F46" s="12"/>
      <c r="G46" s="12"/>
      <c r="H46" s="12"/>
      <c r="I46" s="66" t="s">
        <v>139</v>
      </c>
      <c r="J46" s="34"/>
      <c r="K46" s="35" t="s">
        <v>140</v>
      </c>
      <c r="L46" s="975">
        <f>Data!H179</f>
        <v>1.0249999999999999</v>
      </c>
      <c r="M46" s="975"/>
      <c r="N46" s="975"/>
      <c r="O46" s="74"/>
      <c r="P46" s="14"/>
      <c r="Q46" s="15"/>
      <c r="R46" s="37"/>
      <c r="S46" s="975">
        <f>Data!N179</f>
        <v>1.0249999999999999</v>
      </c>
      <c r="T46" s="971"/>
      <c r="U46" s="971"/>
      <c r="V46" s="74"/>
      <c r="W46" s="14"/>
      <c r="X46" s="38"/>
    </row>
    <row r="47" spans="1:24" ht="16.5" customHeight="1">
      <c r="A47" s="72"/>
      <c r="B47" s="73"/>
      <c r="C47" s="73"/>
      <c r="D47" s="12"/>
      <c r="E47" s="12"/>
      <c r="F47" s="12"/>
      <c r="G47" s="12"/>
      <c r="H47" s="12"/>
      <c r="I47" s="66" t="s">
        <v>141</v>
      </c>
      <c r="J47" s="34"/>
      <c r="K47" s="35" t="s">
        <v>43</v>
      </c>
      <c r="L47" s="906">
        <f>IF(L46="","",ROUND(L45*L46/Data!K62,3))</f>
        <v>6746.8320000000003</v>
      </c>
      <c r="M47" s="971"/>
      <c r="N47" s="971"/>
      <c r="O47" s="14"/>
      <c r="P47" s="14"/>
      <c r="Q47" s="15"/>
      <c r="R47" s="37"/>
      <c r="T47" s="974">
        <f>IF(S46="","",ROUND(S45*S46/Data!K62,3))</f>
        <v>4432.201</v>
      </c>
      <c r="U47" s="974"/>
      <c r="V47" s="974"/>
      <c r="W47" s="14"/>
      <c r="X47" s="38"/>
    </row>
    <row r="48" spans="1:24" ht="16.5" customHeight="1">
      <c r="A48" s="72"/>
      <c r="B48" s="73"/>
      <c r="C48" s="73"/>
      <c r="D48" s="12"/>
      <c r="E48" s="12"/>
      <c r="F48" s="12"/>
      <c r="G48" s="12"/>
      <c r="H48" s="12"/>
      <c r="I48" s="66" t="s">
        <v>142</v>
      </c>
      <c r="J48" s="34"/>
      <c r="K48" s="35" t="s">
        <v>43</v>
      </c>
      <c r="L48" s="906">
        <f>Data!H144</f>
        <v>307.3</v>
      </c>
      <c r="M48" s="971"/>
      <c r="N48" s="971"/>
      <c r="O48" s="14"/>
      <c r="P48" s="14"/>
      <c r="Q48" s="15"/>
      <c r="R48" s="37"/>
      <c r="S48" s="906">
        <f>Data!N144</f>
        <v>47</v>
      </c>
      <c r="T48" s="971"/>
      <c r="U48" s="971"/>
      <c r="V48" s="75"/>
      <c r="W48" s="14"/>
      <c r="X48" s="38"/>
    </row>
    <row r="49" spans="1:24" ht="16.5" customHeight="1" thickBot="1">
      <c r="A49" s="76"/>
      <c r="B49" s="77"/>
      <c r="C49" s="77"/>
      <c r="D49" s="78"/>
      <c r="E49" s="78"/>
      <c r="F49" s="78"/>
      <c r="G49" s="78"/>
      <c r="H49" s="78"/>
      <c r="I49" s="79" t="s">
        <v>143</v>
      </c>
      <c r="J49" s="80"/>
      <c r="K49" s="81" t="s">
        <v>43</v>
      </c>
      <c r="L49" s="960">
        <f>IF(L47="","",+L47-L48)</f>
        <v>6439.5320000000002</v>
      </c>
      <c r="M49" s="961"/>
      <c r="N49" s="961"/>
      <c r="O49" s="82"/>
      <c r="P49" s="82"/>
      <c r="Q49" s="83"/>
      <c r="R49" s="84"/>
      <c r="S49" s="960">
        <f>IF(T47="","",T47-S48)</f>
        <v>4385.201</v>
      </c>
      <c r="T49" s="961"/>
      <c r="U49" s="961"/>
      <c r="V49" s="85"/>
      <c r="W49" s="82"/>
      <c r="X49" s="86"/>
    </row>
    <row r="50" spans="1:24" ht="9.75" customHeight="1" thickBot="1"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</row>
    <row r="51" spans="1:24" ht="12.75" customHeight="1">
      <c r="A51" s="88"/>
      <c r="B51" s="89"/>
      <c r="C51" s="962" t="str">
        <f>IF(O51="","Total Cargo Un/loaded",IF(L49-S49&lt;0,"Total Cargo Loaded on Board","Total Cargo Discharged"))</f>
        <v>Total Cargo Discharged</v>
      </c>
      <c r="D51" s="962"/>
      <c r="E51" s="962"/>
      <c r="F51" s="962"/>
      <c r="G51" s="962"/>
      <c r="H51" s="962"/>
      <c r="I51" s="962"/>
      <c r="J51" s="90"/>
      <c r="L51" s="87"/>
      <c r="M51" s="87"/>
      <c r="N51" s="87"/>
      <c r="O51" s="964">
        <f>IF(S49="","",ABS(L49-S49))</f>
        <v>2054.3310000000001</v>
      </c>
      <c r="P51" s="965"/>
      <c r="Q51" s="965"/>
      <c r="R51" s="965"/>
      <c r="S51" s="968" t="str">
        <f>IF(O51="","","MT")</f>
        <v>MT</v>
      </c>
      <c r="T51" s="91"/>
      <c r="U51" s="92"/>
      <c r="V51" s="87"/>
      <c r="W51" s="87"/>
      <c r="X51" s="87"/>
    </row>
    <row r="52" spans="1:24" ht="9" customHeight="1" thickBot="1">
      <c r="A52" s="93"/>
      <c r="B52" s="19"/>
      <c r="C52" s="963"/>
      <c r="D52" s="963"/>
      <c r="E52" s="963"/>
      <c r="F52" s="963"/>
      <c r="G52" s="963"/>
      <c r="H52" s="963"/>
      <c r="I52" s="963"/>
      <c r="J52" s="20"/>
      <c r="L52" s="87"/>
      <c r="M52" s="87"/>
      <c r="N52" s="87"/>
      <c r="O52" s="966"/>
      <c r="P52" s="967"/>
      <c r="Q52" s="967"/>
      <c r="R52" s="967"/>
      <c r="S52" s="969"/>
      <c r="T52" s="91"/>
      <c r="U52" s="87"/>
      <c r="V52" s="87"/>
      <c r="W52" s="87"/>
      <c r="X52" s="87"/>
    </row>
    <row r="53" spans="1:24" ht="9" customHeight="1">
      <c r="C53" s="94"/>
      <c r="D53" s="94"/>
      <c r="E53" s="94"/>
      <c r="F53" s="94"/>
      <c r="G53" s="94"/>
      <c r="H53" s="94"/>
      <c r="I53" s="94"/>
    </row>
    <row r="54" spans="1:24" ht="11.25" customHeight="1">
      <c r="A54" s="970" t="s">
        <v>144</v>
      </c>
      <c r="B54" s="970"/>
      <c r="C54" s="970"/>
      <c r="D54" s="970"/>
      <c r="E54" s="970"/>
      <c r="F54" s="970"/>
      <c r="G54" s="970"/>
      <c r="H54" s="970"/>
      <c r="I54" s="970"/>
      <c r="J54" s="970"/>
      <c r="K54" s="970"/>
      <c r="L54" s="970"/>
      <c r="M54" s="970"/>
      <c r="N54" s="970"/>
      <c r="O54" s="970"/>
      <c r="P54" s="970"/>
      <c r="Q54" s="970"/>
      <c r="R54" s="970"/>
      <c r="S54" s="970"/>
      <c r="T54" s="970"/>
      <c r="U54" s="970"/>
      <c r="V54" s="970"/>
      <c r="W54" s="970"/>
      <c r="X54" s="970"/>
    </row>
    <row r="55" spans="1:24" ht="13.5" customHeight="1">
      <c r="A55" s="970"/>
      <c r="B55" s="970"/>
      <c r="C55" s="970"/>
      <c r="D55" s="970"/>
      <c r="E55" s="970"/>
      <c r="F55" s="970"/>
      <c r="G55" s="970"/>
      <c r="H55" s="970"/>
      <c r="I55" s="970"/>
      <c r="J55" s="970"/>
      <c r="K55" s="970"/>
      <c r="L55" s="970"/>
      <c r="M55" s="970"/>
      <c r="N55" s="970"/>
      <c r="O55" s="970"/>
      <c r="P55" s="970"/>
      <c r="Q55" s="970"/>
      <c r="R55" s="970"/>
      <c r="S55" s="970"/>
      <c r="T55" s="970"/>
      <c r="U55" s="970"/>
      <c r="V55" s="970"/>
      <c r="W55" s="970"/>
      <c r="X55" s="970"/>
    </row>
    <row r="56" spans="1:24" ht="5.25" customHeight="1" thickBo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</row>
    <row r="57" spans="1:24">
      <c r="A57" s="150" t="s">
        <v>101</v>
      </c>
      <c r="B57" s="151"/>
      <c r="C57" s="152"/>
      <c r="D57" s="152"/>
      <c r="E57" s="135"/>
      <c r="F57" s="135"/>
      <c r="G57" s="135"/>
      <c r="H57" s="135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3"/>
    </row>
    <row r="58" spans="1:24" ht="16.5" customHeight="1">
      <c r="A58" s="954" t="str">
        <f>IF([2]Données!B190="","",[2]Données!B190)</f>
        <v/>
      </c>
      <c r="B58" s="955"/>
      <c r="C58" s="955"/>
      <c r="D58" s="955"/>
      <c r="E58" s="955"/>
      <c r="F58" s="955"/>
      <c r="G58" s="955"/>
      <c r="H58" s="955"/>
      <c r="I58" s="955"/>
      <c r="J58" s="955"/>
      <c r="K58" s="955"/>
      <c r="L58" s="955"/>
      <c r="M58" s="955"/>
      <c r="N58" s="955"/>
      <c r="O58" s="955"/>
      <c r="P58" s="955"/>
      <c r="Q58" s="955"/>
      <c r="R58" s="955"/>
      <c r="S58" s="955"/>
      <c r="T58" s="955"/>
      <c r="U58" s="955"/>
      <c r="V58" s="955"/>
      <c r="W58" s="955"/>
      <c r="X58" s="956"/>
    </row>
    <row r="59" spans="1:24" ht="16.5" customHeight="1">
      <c r="A59" s="954" t="str">
        <f>IF([2]Données!B191="","",[2]Données!B191)</f>
        <v/>
      </c>
      <c r="B59" s="955"/>
      <c r="C59" s="955"/>
      <c r="D59" s="955"/>
      <c r="E59" s="955"/>
      <c r="F59" s="955"/>
      <c r="G59" s="955"/>
      <c r="H59" s="955"/>
      <c r="I59" s="955"/>
      <c r="J59" s="955"/>
      <c r="K59" s="955"/>
      <c r="L59" s="955"/>
      <c r="M59" s="955"/>
      <c r="N59" s="955"/>
      <c r="O59" s="955"/>
      <c r="P59" s="955"/>
      <c r="Q59" s="955"/>
      <c r="R59" s="955"/>
      <c r="S59" s="955"/>
      <c r="T59" s="955"/>
      <c r="U59" s="955"/>
      <c r="V59" s="955"/>
      <c r="W59" s="955"/>
      <c r="X59" s="956"/>
    </row>
    <row r="60" spans="1:24" ht="16.5" customHeight="1" thickBot="1">
      <c r="A60" s="957" t="str">
        <f>IF([2]Données!B192="","",[2]Données!B192)</f>
        <v/>
      </c>
      <c r="B60" s="958"/>
      <c r="C60" s="958"/>
      <c r="D60" s="958"/>
      <c r="E60" s="958"/>
      <c r="F60" s="958"/>
      <c r="G60" s="958"/>
      <c r="H60" s="958"/>
      <c r="I60" s="958"/>
      <c r="J60" s="958"/>
      <c r="K60" s="958"/>
      <c r="L60" s="958"/>
      <c r="M60" s="958"/>
      <c r="N60" s="958"/>
      <c r="O60" s="958"/>
      <c r="P60" s="958"/>
      <c r="Q60" s="958"/>
      <c r="R60" s="958"/>
      <c r="S60" s="958"/>
      <c r="T60" s="958"/>
      <c r="U60" s="958"/>
      <c r="V60" s="958"/>
      <c r="W60" s="958"/>
      <c r="X60" s="959"/>
    </row>
    <row r="61" spans="1:24" ht="16.5" customHeight="1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</row>
    <row r="62" spans="1:24" s="97" customFormat="1" ht="13.5" customHeight="1">
      <c r="D62" s="98" t="s">
        <v>526</v>
      </c>
      <c r="F62" s="99"/>
      <c r="G62" s="99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T62" s="98" t="s">
        <v>145</v>
      </c>
    </row>
    <row r="63" spans="1:24" s="97" customFormat="1" ht="12.75" customHeight="1">
      <c r="M63" s="97" t="s">
        <v>146</v>
      </c>
    </row>
    <row r="64" spans="1:24" s="101" customFormat="1" ht="12.75" customHeight="1"/>
    <row r="65" spans="1:24" s="101" customFormat="1" ht="12.75" customHeight="1"/>
    <row r="66" spans="1:24" s="101" customFormat="1" ht="12.75" customHeight="1"/>
    <row r="67" spans="1:24" s="97" customFormat="1" ht="14.25" customHeight="1"/>
    <row r="68" spans="1:24" ht="11.25" customHeight="1">
      <c r="A68" s="102"/>
      <c r="E68" s="103"/>
      <c r="F68" s="103"/>
      <c r="G68" s="99"/>
      <c r="H68" s="99"/>
    </row>
    <row r="69" spans="1:24" ht="4" customHeight="1">
      <c r="A69" s="102"/>
      <c r="E69" s="103"/>
      <c r="F69" s="103"/>
      <c r="G69" s="99"/>
      <c r="H69" s="99"/>
    </row>
    <row r="70" spans="1:24" ht="11.5" customHeight="1">
      <c r="A70" s="104"/>
      <c r="B70" s="104"/>
      <c r="D70" s="105"/>
      <c r="E70" s="104"/>
      <c r="F70" s="104"/>
      <c r="J70" s="104"/>
      <c r="L70" s="105"/>
      <c r="M70" s="104"/>
      <c r="P70" s="106"/>
      <c r="Q70" s="104"/>
      <c r="R70" s="104"/>
      <c r="S70" s="104"/>
      <c r="T70" s="104"/>
      <c r="U70" s="104"/>
      <c r="V70" s="104"/>
      <c r="W70" s="104"/>
      <c r="X70" s="104"/>
    </row>
    <row r="71" spans="1:24" ht="8.25" customHeight="1">
      <c r="A71" s="104"/>
      <c r="B71" s="104"/>
      <c r="C71" s="104"/>
      <c r="G71" s="107"/>
      <c r="H71" s="107"/>
      <c r="I71" s="104"/>
      <c r="M71" s="106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ht="9.75" customHeight="1">
      <c r="A72" s="104"/>
      <c r="B72" s="104"/>
      <c r="C72" s="104"/>
      <c r="D72" s="104"/>
      <c r="E72" s="104"/>
      <c r="F72" s="104"/>
      <c r="G72" s="104"/>
      <c r="H72" s="104"/>
      <c r="I72" s="108"/>
      <c r="J72" s="107"/>
      <c r="K72" s="107"/>
      <c r="L72" s="109"/>
      <c r="M72" s="109"/>
      <c r="N72" s="109"/>
      <c r="O72" s="104"/>
      <c r="P72" s="104"/>
      <c r="Q72" s="104"/>
      <c r="R72" s="104"/>
      <c r="S72" s="104"/>
      <c r="T72" s="104"/>
      <c r="U72" s="104"/>
      <c r="W72" s="110"/>
      <c r="X72" s="104"/>
    </row>
    <row r="95" ht="12.75" customHeight="1"/>
  </sheetData>
  <sheetProtection algorithmName="SHA-512" hashValue="DHqaT+CP7mnEgCs2eFdcERYfbpVHY1MxyichDGu/Z2j6uMIaKl0qxzayLWokB1KR0GA1PAUkoyY3uyUS1gPkVA==" saltValue="GYtba8aCef978Ei17BQ7mg==" spinCount="100000" sheet="1" objects="1" scenarios="1"/>
  <protectedRanges>
    <protectedRange password="E509" sqref="E63:E67 T64:T67 C63:C67 F62:R67 S63:S67 A62:B67 A32:A35 Z2 D10 F10:V10 D62 U62:X67 S22:U23 C51 A9:C10 O51 S51 E9:E10 N4:N8 T4:W5 T62 A18:E23 A43:G49 K15 R24 L24:M24 V50:X61 D52:I53 P52:R53 T52:T53 P4:Q5 P7:Q8 V6:W6 R4:R8 A1:F8 U7:V8 A24:A30 B35:B42 B24:B29 C24:G42 A37:A42 I30:I49 U51:U61 A54:T61 N28:N53 D64:D67 L43:L49 T28:T42 T47 N11 N16:N17 R12:R15 V22:W24 O25:O49 V25:V49 M25:N27 M28:M42 U28:U49 T25:U27 G21:K23 G18:I20 T20:X21 T18:V19 AC14:AG17 N18:R23 S43:S46 S48:S49" name="Plage1_1"/>
  </protectedRanges>
  <mergeCells count="115">
    <mergeCell ref="A35:F39"/>
    <mergeCell ref="L47:N47"/>
    <mergeCell ref="L48:N48"/>
    <mergeCell ref="S48:U48"/>
    <mergeCell ref="L43:N43"/>
    <mergeCell ref="S43:U43"/>
    <mergeCell ref="L44:N44"/>
    <mergeCell ref="S44:U44"/>
    <mergeCell ref="L45:N45"/>
    <mergeCell ref="S45:U45"/>
    <mergeCell ref="T37:U37"/>
    <mergeCell ref="M38:N38"/>
    <mergeCell ref="T38:U38"/>
    <mergeCell ref="M39:N39"/>
    <mergeCell ref="T39:U39"/>
    <mergeCell ref="T47:V47"/>
    <mergeCell ref="M42:N42"/>
    <mergeCell ref="T42:U42"/>
    <mergeCell ref="L46:N46"/>
    <mergeCell ref="S46:U46"/>
    <mergeCell ref="M35:N35"/>
    <mergeCell ref="T35:U35"/>
    <mergeCell ref="M36:N36"/>
    <mergeCell ref="T36:U36"/>
    <mergeCell ref="A58:X58"/>
    <mergeCell ref="A59:X59"/>
    <mergeCell ref="A60:X60"/>
    <mergeCell ref="L49:N49"/>
    <mergeCell ref="S49:U49"/>
    <mergeCell ref="C51:I52"/>
    <mergeCell ref="O51:R52"/>
    <mergeCell ref="S51:S52"/>
    <mergeCell ref="A54:X55"/>
    <mergeCell ref="AC14:AH14"/>
    <mergeCell ref="AC15:AH15"/>
    <mergeCell ref="AC16:AH16"/>
    <mergeCell ref="AC17:AH17"/>
    <mergeCell ref="N21:R21"/>
    <mergeCell ref="A30:F34"/>
    <mergeCell ref="M30:N30"/>
    <mergeCell ref="T30:U30"/>
    <mergeCell ref="M31:N31"/>
    <mergeCell ref="T31:U31"/>
    <mergeCell ref="M32:N32"/>
    <mergeCell ref="T32:U32"/>
    <mergeCell ref="M33:N33"/>
    <mergeCell ref="T33:U33"/>
    <mergeCell ref="M34:N34"/>
    <mergeCell ref="T34:U34"/>
    <mergeCell ref="A24:J24"/>
    <mergeCell ref="L24:Q24"/>
    <mergeCell ref="R24:X24"/>
    <mergeCell ref="A25:F29"/>
    <mergeCell ref="M25:N25"/>
    <mergeCell ref="T25:U25"/>
    <mergeCell ref="M26:N26"/>
    <mergeCell ref="T26:U26"/>
    <mergeCell ref="W18:X18"/>
    <mergeCell ref="F14:H14"/>
    <mergeCell ref="N14:O14"/>
    <mergeCell ref="V14:X14"/>
    <mergeCell ref="F15:H15"/>
    <mergeCell ref="N15:O15"/>
    <mergeCell ref="V15:X15"/>
    <mergeCell ref="W21:X21"/>
    <mergeCell ref="A20:F20"/>
    <mergeCell ref="G20:H20"/>
    <mergeCell ref="J20:K20"/>
    <mergeCell ref="N20:S20"/>
    <mergeCell ref="T20:U20"/>
    <mergeCell ref="W20:X20"/>
    <mergeCell ref="A19:F19"/>
    <mergeCell ref="G19:H19"/>
    <mergeCell ref="J19:K19"/>
    <mergeCell ref="N19:S19"/>
    <mergeCell ref="T19:U19"/>
    <mergeCell ref="W19:X19"/>
    <mergeCell ref="A21:F21"/>
    <mergeCell ref="G21:H21"/>
    <mergeCell ref="J21:K21"/>
    <mergeCell ref="T21:U21"/>
    <mergeCell ref="T27:U27"/>
    <mergeCell ref="M28:N28"/>
    <mergeCell ref="T28:U28"/>
    <mergeCell ref="M29:N29"/>
    <mergeCell ref="T29:U29"/>
    <mergeCell ref="A18:F18"/>
    <mergeCell ref="G18:H18"/>
    <mergeCell ref="J18:K18"/>
    <mergeCell ref="N18:S18"/>
    <mergeCell ref="T18:U18"/>
    <mergeCell ref="M40:N40"/>
    <mergeCell ref="T40:U40"/>
    <mergeCell ref="M41:N41"/>
    <mergeCell ref="T41:U41"/>
    <mergeCell ref="M37:N37"/>
    <mergeCell ref="V12:X12"/>
    <mergeCell ref="V13:X13"/>
    <mergeCell ref="V2:X2"/>
    <mergeCell ref="N4:Q4"/>
    <mergeCell ref="R4:X4"/>
    <mergeCell ref="N5:Q5"/>
    <mergeCell ref="R5:X5"/>
    <mergeCell ref="N6:Q6"/>
    <mergeCell ref="R6:S6"/>
    <mergeCell ref="T6:U6"/>
    <mergeCell ref="V6:X6"/>
    <mergeCell ref="N7:Q7"/>
    <mergeCell ref="R7:X7"/>
    <mergeCell ref="N8:Q8"/>
    <mergeCell ref="R8:X8"/>
    <mergeCell ref="F10:S10"/>
    <mergeCell ref="N12:O12"/>
    <mergeCell ref="N13:O13"/>
    <mergeCell ref="M27:N27"/>
  </mergeCells>
  <dataValidations count="1">
    <dataValidation errorStyle="information" allowBlank="1" prompt="##:##" sqref="J18:J20 W18:W19" xr:uid="{E20BEA3D-35B8-4DBC-975C-5854A1328544}"/>
  </dataValidations>
  <printOptions horizontalCentered="1" verticalCentered="1"/>
  <pageMargins left="0" right="0" top="0" bottom="0" header="0" footer="0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A9B0-463C-4DA7-9050-199AF5F49332}">
  <sheetPr codeName="Feuil10"/>
  <dimension ref="A1:AW289"/>
  <sheetViews>
    <sheetView showGridLines="0" showRowColHeaders="0" zoomScaleNormal="100" workbookViewId="0">
      <selection activeCell="T56" sqref="T56"/>
    </sheetView>
  </sheetViews>
  <sheetFormatPr baseColWidth="10" defaultColWidth="11.453125" defaultRowHeight="14.5"/>
  <cols>
    <col min="1" max="7" width="5.7265625" customWidth="1"/>
    <col min="8" max="8" width="6.7265625" customWidth="1"/>
    <col min="9" max="16" width="6.26953125" customWidth="1"/>
    <col min="17" max="26" width="5.7265625" customWidth="1"/>
  </cols>
  <sheetData>
    <row r="1" spans="1:49" ht="15" customHeight="1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132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</row>
    <row r="2" spans="1:49" ht="15" customHeight="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</row>
    <row r="3" spans="1:49" ht="15" customHeight="1">
      <c r="A3" s="87"/>
      <c r="B3" s="87"/>
      <c r="C3" s="87"/>
      <c r="D3" s="87"/>
      <c r="E3" s="87"/>
      <c r="F3" s="87"/>
      <c r="G3" s="87"/>
      <c r="H3" s="976" t="str">
        <f>+[2]Données!B6</f>
        <v xml:space="preserve">Vessel </v>
      </c>
      <c r="I3" s="977"/>
      <c r="J3" s="978"/>
      <c r="K3" s="986" t="str">
        <f>Data!F6</f>
        <v>SUURHUSEN</v>
      </c>
      <c r="L3" s="986"/>
      <c r="M3" s="986"/>
      <c r="N3" s="986"/>
      <c r="O3" s="986"/>
      <c r="P3" s="986"/>
      <c r="Q3" s="9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</row>
    <row r="4" spans="1:49" ht="15" customHeight="1">
      <c r="A4" s="87"/>
      <c r="B4" s="87"/>
      <c r="C4" s="87"/>
      <c r="D4" s="87"/>
      <c r="E4" s="87"/>
      <c r="F4" s="87"/>
      <c r="G4" s="87"/>
      <c r="H4" s="979" t="str">
        <f>+[2]Données!B8</f>
        <v>Cargo</v>
      </c>
      <c r="I4" s="980"/>
      <c r="J4" s="981"/>
      <c r="K4" s="891" t="str">
        <f>Data!F8</f>
        <v>ST SC</v>
      </c>
      <c r="L4" s="891"/>
      <c r="M4" s="892"/>
      <c r="N4" s="892"/>
      <c r="O4" s="891"/>
      <c r="P4" s="891"/>
      <c r="Q4" s="988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</row>
    <row r="5" spans="1:49" ht="15" customHeight="1">
      <c r="A5" s="87"/>
      <c r="B5" s="87"/>
      <c r="C5" s="87"/>
      <c r="D5" s="87"/>
      <c r="E5" s="87"/>
      <c r="F5" s="87"/>
      <c r="G5" s="87"/>
      <c r="H5" s="979" t="s">
        <v>114</v>
      </c>
      <c r="I5" s="980"/>
      <c r="J5" s="981"/>
      <c r="K5" s="894">
        <f>Data!F16</f>
        <v>3098.2950000000001</v>
      </c>
      <c r="L5" s="895"/>
      <c r="M5" s="896" t="str">
        <f>IF(K5="","","MT  Dated")</f>
        <v>MT  Dated</v>
      </c>
      <c r="N5" s="896"/>
      <c r="O5" s="897">
        <f>Data!F18</f>
        <v>44709</v>
      </c>
      <c r="P5" s="897"/>
      <c r="Q5" s="989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</row>
    <row r="6" spans="1:49" ht="15" customHeight="1">
      <c r="A6" s="87"/>
      <c r="B6" s="87"/>
      <c r="C6" s="87"/>
      <c r="D6" s="87"/>
      <c r="E6" s="87"/>
      <c r="F6" s="87"/>
      <c r="G6" s="87"/>
      <c r="H6" s="979" t="str">
        <f>+[2]Données!B12</f>
        <v>Port of Loading</v>
      </c>
      <c r="I6" s="980"/>
      <c r="J6" s="981"/>
      <c r="K6" s="891" t="str">
        <f>Data!F12</f>
        <v xml:space="preserve">MIDDLESBROUGH </v>
      </c>
      <c r="L6" s="891"/>
      <c r="M6" s="899"/>
      <c r="N6" s="899"/>
      <c r="O6" s="891"/>
      <c r="P6" s="891"/>
      <c r="Q6" s="988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</row>
    <row r="7" spans="1:49" ht="15" customHeight="1">
      <c r="A7" s="87"/>
      <c r="B7" s="87"/>
      <c r="C7" s="87"/>
      <c r="D7" s="87"/>
      <c r="E7" s="87"/>
      <c r="F7" s="87"/>
      <c r="G7" s="87"/>
      <c r="H7" s="992" t="str">
        <f>+[2]Données!B14</f>
        <v>Port of Discharge</v>
      </c>
      <c r="I7" s="993"/>
      <c r="J7" s="994"/>
      <c r="K7" s="995" t="str">
        <f>Data!F14</f>
        <v>CASABLANCA</v>
      </c>
      <c r="L7" s="995"/>
      <c r="M7" s="995"/>
      <c r="N7" s="995"/>
      <c r="O7" s="995"/>
      <c r="P7" s="995"/>
      <c r="Q7" s="996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</row>
    <row r="8" spans="1:49" ht="10.5" customHeight="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</row>
    <row r="9" spans="1:49" ht="10.5" customHeight="1">
      <c r="A9" s="87"/>
      <c r="B9" s="87"/>
      <c r="C9" s="87"/>
      <c r="D9" s="87"/>
      <c r="E9" s="1221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</row>
    <row r="10" spans="1:49" ht="21" customHeight="1">
      <c r="A10" s="87"/>
      <c r="B10" s="87"/>
      <c r="C10" s="87"/>
      <c r="D10" s="87"/>
      <c r="E10" s="1060" t="s">
        <v>147</v>
      </c>
      <c r="F10" s="1060"/>
      <c r="G10" s="1060"/>
      <c r="H10" s="1060"/>
      <c r="I10" s="1060"/>
      <c r="J10" s="1060"/>
      <c r="K10" s="1060"/>
      <c r="L10" s="1060"/>
      <c r="M10" s="1060"/>
      <c r="N10" s="1221"/>
      <c r="O10" s="1221"/>
      <c r="P10" s="1061" t="s">
        <v>148</v>
      </c>
      <c r="Q10" s="87"/>
      <c r="R10" s="1221"/>
      <c r="S10" s="1221"/>
      <c r="T10" s="87"/>
      <c r="U10" s="87"/>
      <c r="V10" s="87"/>
      <c r="W10" s="87"/>
      <c r="X10" s="1222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</row>
    <row r="11" spans="1:49" ht="21.75" customHeight="1">
      <c r="A11" s="87"/>
      <c r="B11" s="87"/>
      <c r="C11" s="87"/>
      <c r="D11" s="87"/>
      <c r="E11" s="1063" t="s">
        <v>149</v>
      </c>
      <c r="F11" s="1063"/>
      <c r="G11" s="1063"/>
      <c r="H11" s="1063"/>
      <c r="I11" s="1063"/>
      <c r="J11" s="1063"/>
      <c r="K11" s="1063"/>
      <c r="L11" s="1063"/>
      <c r="M11" s="1063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</row>
    <row r="12" spans="1:49" ht="9" customHeight="1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</row>
    <row r="13" spans="1:49" ht="14.25" customHeight="1">
      <c r="A13" s="87"/>
      <c r="B13" s="87"/>
      <c r="C13" s="87"/>
      <c r="D13" s="87"/>
      <c r="E13" s="87"/>
      <c r="F13" s="87"/>
      <c r="G13" s="87"/>
      <c r="H13" s="1223" t="s">
        <v>124</v>
      </c>
      <c r="I13" s="1224" t="s">
        <v>2</v>
      </c>
      <c r="J13" s="1225"/>
      <c r="K13" s="1225"/>
      <c r="L13" s="1226"/>
      <c r="M13" s="1224" t="s">
        <v>3</v>
      </c>
      <c r="N13" s="1225"/>
      <c r="O13" s="1225"/>
      <c r="P13" s="1226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</row>
    <row r="14" spans="1:49" ht="14.25" customHeight="1">
      <c r="A14" s="1227" t="s">
        <v>150</v>
      </c>
      <c r="B14" s="1228"/>
      <c r="C14" s="1228"/>
      <c r="D14" s="1228"/>
      <c r="E14" s="1228"/>
      <c r="F14" s="1228"/>
      <c r="G14" s="1229"/>
      <c r="H14" s="1230" t="s">
        <v>125</v>
      </c>
      <c r="I14" s="982">
        <f>Data!H88</f>
        <v>400</v>
      </c>
      <c r="J14" s="983"/>
      <c r="K14" s="129" t="str">
        <f>Data!K88</f>
        <v>A</v>
      </c>
      <c r="L14" s="116"/>
      <c r="M14" s="984">
        <f>Data!N88</f>
        <v>121</v>
      </c>
      <c r="N14" s="985"/>
      <c r="O14" s="115" t="str">
        <f>Data!Q38</f>
        <v>A</v>
      </c>
      <c r="P14" s="116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</row>
    <row r="15" spans="1:49" ht="14.25" customHeight="1">
      <c r="A15" s="1231" t="s">
        <v>151</v>
      </c>
      <c r="B15" s="1232"/>
      <c r="C15" s="1232"/>
      <c r="D15" s="1232"/>
      <c r="E15" s="1232"/>
      <c r="F15" s="1232"/>
      <c r="G15" s="1233"/>
      <c r="H15" s="1234" t="s">
        <v>125</v>
      </c>
      <c r="I15" s="990">
        <f>Data!I38</f>
        <v>80.400000000000006</v>
      </c>
      <c r="J15" s="991"/>
      <c r="K15" s="117" t="str">
        <f>Data!K38</f>
        <v>A</v>
      </c>
      <c r="L15" s="112"/>
      <c r="M15" s="990">
        <f>Data!O38</f>
        <v>160</v>
      </c>
      <c r="N15" s="991"/>
      <c r="O15" s="117" t="str">
        <f>Data!Q42</f>
        <v>A</v>
      </c>
      <c r="P15" s="112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</row>
    <row r="16" spans="1:49" ht="14.25" customHeight="1">
      <c r="A16" s="1235" t="s">
        <v>152</v>
      </c>
      <c r="B16" s="1049"/>
      <c r="C16" s="1049"/>
      <c r="D16" s="1049"/>
      <c r="E16" s="1049"/>
      <c r="F16" s="1049"/>
      <c r="G16" s="1050"/>
      <c r="H16" s="1234" t="s">
        <v>125</v>
      </c>
      <c r="I16" s="990">
        <f>Data!I42</f>
        <v>116</v>
      </c>
      <c r="J16" s="991"/>
      <c r="K16" s="117" t="str">
        <f>Data!K42</f>
        <v>E</v>
      </c>
      <c r="L16" s="112"/>
      <c r="M16" s="999">
        <f>Data!O42</f>
        <v>165</v>
      </c>
      <c r="N16" s="1000"/>
      <c r="O16" s="117" t="str">
        <f>Data!Q40</f>
        <v>F</v>
      </c>
      <c r="P16" s="112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</row>
    <row r="17" spans="1:49" ht="14.25" customHeight="1">
      <c r="A17" s="1235" t="s">
        <v>153</v>
      </c>
      <c r="B17" s="1049"/>
      <c r="C17" s="1049"/>
      <c r="D17" s="1049"/>
      <c r="E17" s="1049"/>
      <c r="F17" s="1049"/>
      <c r="G17" s="1050"/>
      <c r="H17" s="1234" t="s">
        <v>125</v>
      </c>
      <c r="I17" s="990">
        <f>Data!I40</f>
        <v>180</v>
      </c>
      <c r="J17" s="991"/>
      <c r="K17" s="117" t="str">
        <f>Data!K40</f>
        <v>A</v>
      </c>
      <c r="L17" s="112"/>
      <c r="M17" s="997">
        <f>Data!O40</f>
        <v>55</v>
      </c>
      <c r="N17" s="998"/>
      <c r="O17" s="117"/>
      <c r="P17" s="112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</row>
    <row r="18" spans="1:49" ht="14.25" customHeight="1">
      <c r="A18" s="1235" t="s">
        <v>154</v>
      </c>
      <c r="B18" s="1049"/>
      <c r="C18" s="1049"/>
      <c r="D18" s="1049"/>
      <c r="E18" s="1049"/>
      <c r="F18" s="1049"/>
      <c r="G18" s="1050"/>
      <c r="H18" s="1234" t="s">
        <v>125</v>
      </c>
      <c r="I18" s="990">
        <f>Data!H151</f>
        <v>-3.7401437443304726</v>
      </c>
      <c r="J18" s="991"/>
      <c r="K18" s="118"/>
      <c r="L18" s="112"/>
      <c r="M18" s="997">
        <f>Data!N151</f>
        <v>-2.3370352486721391</v>
      </c>
      <c r="N18" s="998"/>
      <c r="O18" s="111"/>
      <c r="P18" s="112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</row>
    <row r="19" spans="1:49" ht="14.25" customHeight="1">
      <c r="A19" s="1235" t="s">
        <v>155</v>
      </c>
      <c r="B19" s="1049"/>
      <c r="C19" s="1049"/>
      <c r="D19" s="1049"/>
      <c r="E19" s="1049"/>
      <c r="F19" s="1049"/>
      <c r="G19" s="1050"/>
      <c r="H19" s="1234" t="s">
        <v>125</v>
      </c>
      <c r="I19" s="990">
        <f>Data!H163</f>
        <v>5.3962272928151096</v>
      </c>
      <c r="J19" s="991"/>
      <c r="K19" s="118"/>
      <c r="L19" s="112"/>
      <c r="M19" s="997">
        <f>Data!N163</f>
        <v>-2.4100676001931434</v>
      </c>
      <c r="N19" s="998"/>
      <c r="O19" s="111"/>
      <c r="P19" s="112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</row>
    <row r="20" spans="1:49" ht="14.25" customHeight="1">
      <c r="A20" s="1235" t="s">
        <v>156</v>
      </c>
      <c r="B20" s="1049"/>
      <c r="C20" s="1049"/>
      <c r="D20" s="1049"/>
      <c r="E20" s="1049"/>
      <c r="F20" s="1049"/>
      <c r="G20" s="1050"/>
      <c r="H20" s="1234" t="s">
        <v>125</v>
      </c>
      <c r="I20" s="990">
        <f>Data!H157</f>
        <v>-8.3734561440234447</v>
      </c>
      <c r="J20" s="991"/>
      <c r="K20" s="118"/>
      <c r="L20" s="112"/>
      <c r="M20" s="990">
        <f>Data!N157</f>
        <v>0.80335586673104775</v>
      </c>
      <c r="N20" s="991"/>
      <c r="O20" s="111"/>
      <c r="P20" s="112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</row>
    <row r="21" spans="1:49" ht="14.25" customHeight="1">
      <c r="A21" s="1235" t="s">
        <v>157</v>
      </c>
      <c r="B21" s="1049"/>
      <c r="C21" s="1049"/>
      <c r="D21" s="1049"/>
      <c r="E21" s="1049"/>
      <c r="F21" s="1049"/>
      <c r="G21" s="1050"/>
      <c r="H21" s="1234" t="s">
        <v>125</v>
      </c>
      <c r="I21" s="990">
        <f>Data!H152</f>
        <v>119.26</v>
      </c>
      <c r="J21" s="991"/>
      <c r="K21" s="118"/>
      <c r="L21" s="112"/>
      <c r="M21" s="990">
        <f>Data!N152</f>
        <v>202.66</v>
      </c>
      <c r="N21" s="991"/>
      <c r="O21" s="111"/>
      <c r="P21" s="112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</row>
    <row r="22" spans="1:49" ht="14.25" customHeight="1">
      <c r="A22" s="1235" t="s">
        <v>158</v>
      </c>
      <c r="B22" s="1049"/>
      <c r="C22" s="1049"/>
      <c r="D22" s="1049"/>
      <c r="E22" s="1049"/>
      <c r="F22" s="1049"/>
      <c r="G22" s="1050"/>
      <c r="H22" s="1234" t="s">
        <v>125</v>
      </c>
      <c r="I22" s="990">
        <f>Data!H164</f>
        <v>537.9</v>
      </c>
      <c r="J22" s="991"/>
      <c r="K22" s="118"/>
      <c r="L22" s="112"/>
      <c r="M22" s="990">
        <f>Data!N164</f>
        <v>263.58999999999997</v>
      </c>
      <c r="N22" s="991"/>
      <c r="O22" s="111"/>
      <c r="P22" s="112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</row>
    <row r="23" spans="1:49" ht="14.25" customHeight="1">
      <c r="A23" s="1235" t="s">
        <v>159</v>
      </c>
      <c r="B23" s="1049"/>
      <c r="C23" s="1049"/>
      <c r="D23" s="1049"/>
      <c r="E23" s="1049"/>
      <c r="F23" s="1049"/>
      <c r="G23" s="1050"/>
      <c r="H23" s="1234" t="s">
        <v>125</v>
      </c>
      <c r="I23" s="990">
        <f>Data!H158</f>
        <v>514.63</v>
      </c>
      <c r="J23" s="991"/>
      <c r="K23" s="118"/>
      <c r="L23" s="112"/>
      <c r="M23" s="990">
        <f>Data!N158</f>
        <v>326.8</v>
      </c>
      <c r="N23" s="991"/>
      <c r="O23" s="111"/>
      <c r="P23" s="112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</row>
    <row r="24" spans="1:49" ht="14.25" customHeight="1">
      <c r="A24" s="1235" t="s">
        <v>160</v>
      </c>
      <c r="B24" s="1049"/>
      <c r="C24" s="1049"/>
      <c r="D24" s="1049"/>
      <c r="E24" s="1049"/>
      <c r="F24" s="1049"/>
      <c r="G24" s="1050"/>
      <c r="H24" s="1234" t="s">
        <v>125</v>
      </c>
      <c r="I24" s="990">
        <f>Data!H89</f>
        <v>395.37</v>
      </c>
      <c r="J24" s="991"/>
      <c r="K24" s="130" t="str">
        <f>Data!K89</f>
        <v>A</v>
      </c>
      <c r="L24" s="112"/>
      <c r="M24" s="990">
        <f>Data!N89</f>
        <v>124.14</v>
      </c>
      <c r="N24" s="991"/>
      <c r="O24" s="130" t="str">
        <f>Data!Q89</f>
        <v>A</v>
      </c>
      <c r="P24" s="112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</row>
    <row r="25" spans="1:49" ht="14.25" customHeight="1">
      <c r="A25" s="1235" t="s">
        <v>161</v>
      </c>
      <c r="B25" s="1049"/>
      <c r="C25" s="1049"/>
      <c r="D25" s="1049"/>
      <c r="E25" s="1049"/>
      <c r="F25" s="1049"/>
      <c r="G25" s="1050"/>
      <c r="H25" s="1234" t="s">
        <v>125</v>
      </c>
      <c r="I25" s="990">
        <f>Data!H168</f>
        <v>482.66125</v>
      </c>
      <c r="J25" s="991"/>
      <c r="K25" s="118"/>
      <c r="L25" s="112"/>
      <c r="M25" s="990">
        <f>Data!N168</f>
        <v>263.875</v>
      </c>
      <c r="N25" s="991"/>
      <c r="O25" s="111"/>
      <c r="P25" s="112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</row>
    <row r="26" spans="1:49" ht="14.25" customHeight="1">
      <c r="A26" s="1235" t="s">
        <v>162</v>
      </c>
      <c r="B26" s="1049"/>
      <c r="C26" s="1049"/>
      <c r="D26" s="1049"/>
      <c r="E26" s="1049"/>
      <c r="F26" s="1049"/>
      <c r="G26" s="1050"/>
      <c r="H26" s="1234" t="s">
        <v>125</v>
      </c>
      <c r="I26" s="990">
        <f>Data!H202</f>
        <v>220.95499999999998</v>
      </c>
      <c r="J26" s="991"/>
      <c r="K26" s="118"/>
      <c r="L26" s="112"/>
      <c r="M26" s="990">
        <f>Data!L202</f>
        <v>1.1400000000000432</v>
      </c>
      <c r="N26" s="991"/>
      <c r="O26" s="111"/>
      <c r="P26" s="112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</row>
    <row r="27" spans="1:49" ht="14.25" customHeight="1">
      <c r="A27" s="1236" t="s">
        <v>163</v>
      </c>
      <c r="B27" s="1237"/>
      <c r="C27" s="1237"/>
      <c r="D27" s="1237"/>
      <c r="E27" s="1237"/>
      <c r="F27" s="1237"/>
      <c r="G27" s="1238"/>
      <c r="H27" s="1239" t="s">
        <v>164</v>
      </c>
      <c r="I27" s="990" t="str">
        <f>Data!H203</f>
        <v>Sag</v>
      </c>
      <c r="J27" s="991"/>
      <c r="K27" s="113"/>
      <c r="L27" s="114"/>
      <c r="M27" s="1001" t="str">
        <f>Data!L203</f>
        <v>Hog</v>
      </c>
      <c r="N27" s="1002"/>
      <c r="O27" s="113"/>
      <c r="P27" s="114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</row>
    <row r="28" spans="1:49" ht="14.25" customHeight="1">
      <c r="A28" s="1227" t="s">
        <v>165</v>
      </c>
      <c r="B28" s="1136"/>
      <c r="C28" s="1136"/>
      <c r="D28" s="1136"/>
      <c r="E28" s="1136"/>
      <c r="F28" s="1136"/>
      <c r="G28" s="1137"/>
      <c r="H28" s="1230" t="s">
        <v>43</v>
      </c>
      <c r="I28" s="1006">
        <f>Data!H170</f>
        <v>6502.18</v>
      </c>
      <c r="J28" s="1007"/>
      <c r="K28" s="119"/>
      <c r="L28" s="116"/>
      <c r="M28" s="1008">
        <f>Data!M170</f>
        <v>4431.68</v>
      </c>
      <c r="N28" s="1009"/>
      <c r="O28" s="120"/>
      <c r="P28" s="116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</row>
    <row r="29" spans="1:49" ht="14.25" customHeight="1">
      <c r="A29" s="1235" t="s">
        <v>1</v>
      </c>
      <c r="B29" s="1049"/>
      <c r="C29" s="1049"/>
      <c r="D29" s="1049"/>
      <c r="E29" s="1049"/>
      <c r="F29" s="1049"/>
      <c r="G29" s="1050"/>
      <c r="H29" s="1234" t="s">
        <v>125</v>
      </c>
      <c r="I29" s="1005">
        <f>Data!I75</f>
        <v>211</v>
      </c>
      <c r="J29" s="1010"/>
      <c r="K29" s="121"/>
      <c r="L29" s="112"/>
      <c r="M29" s="990">
        <f>Data!O75</f>
        <v>65</v>
      </c>
      <c r="N29" s="991"/>
      <c r="O29" s="111"/>
      <c r="P29" s="112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</row>
    <row r="30" spans="1:49" ht="14.25" customHeight="1">
      <c r="A30" s="1235" t="s">
        <v>166</v>
      </c>
      <c r="B30" s="1049"/>
      <c r="C30" s="1049"/>
      <c r="D30" s="1049"/>
      <c r="E30" s="1049"/>
      <c r="F30" s="1049"/>
      <c r="G30" s="1050"/>
      <c r="H30" s="1240" t="s">
        <v>164</v>
      </c>
      <c r="I30" s="1003" t="str">
        <f>Data!K75</f>
        <v>A</v>
      </c>
      <c r="J30" s="1004"/>
      <c r="K30" s="111"/>
      <c r="L30" s="112"/>
      <c r="M30" s="990" t="str">
        <f>Data!Q75</f>
        <v>F</v>
      </c>
      <c r="N30" s="991"/>
      <c r="O30" s="111"/>
      <c r="P30" s="112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87"/>
    </row>
    <row r="31" spans="1:49" ht="14.25" customHeight="1">
      <c r="A31" s="1235" t="s">
        <v>4</v>
      </c>
      <c r="B31" s="1049"/>
      <c r="C31" s="1049"/>
      <c r="D31" s="1049"/>
      <c r="E31" s="1049"/>
      <c r="F31" s="1049"/>
      <c r="G31" s="1050"/>
      <c r="H31" s="1234" t="s">
        <v>167</v>
      </c>
      <c r="I31" s="1005">
        <f>Data!I70</f>
        <v>10</v>
      </c>
      <c r="J31" s="1004"/>
      <c r="K31" s="121"/>
      <c r="L31" s="112"/>
      <c r="M31" s="990">
        <f>Data!O70</f>
        <v>9</v>
      </c>
      <c r="N31" s="991"/>
      <c r="O31" s="111"/>
      <c r="P31" s="122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</row>
    <row r="32" spans="1:49" ht="14.25" customHeight="1">
      <c r="A32" s="1235" t="s">
        <v>168</v>
      </c>
      <c r="B32" s="1049"/>
      <c r="C32" s="1049"/>
      <c r="D32" s="1049"/>
      <c r="E32" s="1049"/>
      <c r="F32" s="1049"/>
      <c r="G32" s="1050"/>
      <c r="H32" s="1234" t="s">
        <v>43</v>
      </c>
      <c r="I32" s="1005">
        <f>Data!I80</f>
        <v>169.97</v>
      </c>
      <c r="J32" s="1004"/>
      <c r="K32" s="121"/>
      <c r="L32" s="112"/>
      <c r="M32" s="990">
        <f>Data!O80</f>
        <v>55</v>
      </c>
      <c r="N32" s="991"/>
      <c r="O32" s="111"/>
      <c r="P32" s="112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7"/>
      <c r="AO32" s="87"/>
      <c r="AP32" s="87"/>
      <c r="AQ32" s="87"/>
      <c r="AR32" s="87"/>
      <c r="AS32" s="87"/>
      <c r="AT32" s="87"/>
      <c r="AU32" s="87"/>
      <c r="AV32" s="87"/>
      <c r="AW32" s="87"/>
    </row>
    <row r="33" spans="1:49" ht="14.25" customHeight="1">
      <c r="A33" s="1235" t="s">
        <v>169</v>
      </c>
      <c r="B33" s="1049"/>
      <c r="C33" s="1049"/>
      <c r="D33" s="1049"/>
      <c r="E33" s="1049"/>
      <c r="F33" s="1049"/>
      <c r="G33" s="1050"/>
      <c r="H33" s="1234" t="s">
        <v>43</v>
      </c>
      <c r="I33" s="1005">
        <f>Data!I82</f>
        <v>154.04</v>
      </c>
      <c r="J33" s="1004"/>
      <c r="K33" s="121"/>
      <c r="L33" s="112"/>
      <c r="M33" s="990">
        <f>Data!O82</f>
        <v>45</v>
      </c>
      <c r="N33" s="991"/>
      <c r="O33" s="111"/>
      <c r="P33" s="112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</row>
    <row r="34" spans="1:49" ht="14.25" customHeight="1">
      <c r="A34" s="1241" t="s">
        <v>170</v>
      </c>
      <c r="B34" s="1058"/>
      <c r="C34" s="1058"/>
      <c r="D34" s="1058"/>
      <c r="E34" s="1058"/>
      <c r="F34" s="1058"/>
      <c r="G34" s="1059"/>
      <c r="H34" s="1242" t="s">
        <v>43</v>
      </c>
      <c r="I34" s="1011">
        <f>Data!I83</f>
        <v>15.930000000000007</v>
      </c>
      <c r="J34" s="1012"/>
      <c r="K34" s="123"/>
      <c r="L34" s="114"/>
      <c r="M34" s="997">
        <f>Data!O83</f>
        <v>10</v>
      </c>
      <c r="N34" s="998"/>
      <c r="O34" s="113"/>
      <c r="P34" s="114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</row>
    <row r="35" spans="1:49" ht="14.25" customHeight="1">
      <c r="A35" s="1231" t="s">
        <v>93</v>
      </c>
      <c r="B35" s="1243"/>
      <c r="C35" s="1243"/>
      <c r="D35" s="1243"/>
      <c r="E35" s="1243"/>
      <c r="F35" s="1243"/>
      <c r="G35" s="1244"/>
      <c r="H35" s="1230" t="s">
        <v>43</v>
      </c>
      <c r="I35" s="1006">
        <f>Data!H173</f>
        <v>98.156000000000006</v>
      </c>
      <c r="J35" s="1007"/>
      <c r="K35" s="119"/>
      <c r="L35" s="124"/>
      <c r="M35" s="982">
        <f>Data!M173</f>
        <v>-8.5449999999999999</v>
      </c>
      <c r="N35" s="983"/>
      <c r="O35" s="120"/>
      <c r="P35" s="124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</row>
    <row r="36" spans="1:49" ht="14.25" customHeight="1">
      <c r="A36" s="1235" t="s">
        <v>94</v>
      </c>
      <c r="B36" s="1049"/>
      <c r="C36" s="1049"/>
      <c r="D36" s="1049"/>
      <c r="E36" s="1049"/>
      <c r="F36" s="1049"/>
      <c r="G36" s="1050"/>
      <c r="H36" s="1234" t="s">
        <v>43</v>
      </c>
      <c r="I36" s="1005">
        <f>Data!H174</f>
        <v>146.49600000000001</v>
      </c>
      <c r="J36" s="1004"/>
      <c r="K36" s="121"/>
      <c r="L36" s="112"/>
      <c r="M36" s="990">
        <f>Data!M174</f>
        <v>9.0660000000000007</v>
      </c>
      <c r="N36" s="991"/>
      <c r="O36" s="111"/>
      <c r="P36" s="112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7"/>
      <c r="AU36" s="87"/>
      <c r="AV36" s="87"/>
      <c r="AW36" s="87"/>
    </row>
    <row r="37" spans="1:49" ht="14.25" customHeight="1">
      <c r="A37" s="1235" t="s">
        <v>95</v>
      </c>
      <c r="B37" s="1049"/>
      <c r="C37" s="1049"/>
      <c r="D37" s="1049"/>
      <c r="E37" s="1049"/>
      <c r="F37" s="1049"/>
      <c r="G37" s="1050"/>
      <c r="H37" s="1234" t="s">
        <v>43</v>
      </c>
      <c r="I37" s="1005">
        <f>IF(I35="","",I35+I36)</f>
        <v>244.65200000000002</v>
      </c>
      <c r="J37" s="1004"/>
      <c r="K37" s="121"/>
      <c r="L37" s="112"/>
      <c r="M37" s="990">
        <f>Data!M175</f>
        <v>0.5210000000000008</v>
      </c>
      <c r="N37" s="991"/>
      <c r="O37" s="111"/>
      <c r="P37" s="112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87"/>
      <c r="AS37" s="87"/>
      <c r="AT37" s="87"/>
      <c r="AU37" s="87"/>
      <c r="AV37" s="87"/>
      <c r="AW37" s="87"/>
    </row>
    <row r="38" spans="1:49" ht="14.25" customHeight="1">
      <c r="A38" s="1235" t="s">
        <v>171</v>
      </c>
      <c r="B38" s="1049"/>
      <c r="C38" s="1049"/>
      <c r="D38" s="1049"/>
      <c r="E38" s="1049"/>
      <c r="F38" s="1049"/>
      <c r="G38" s="1050"/>
      <c r="H38" s="1234" t="s">
        <v>140</v>
      </c>
      <c r="I38" s="1005">
        <f>Data!H179</f>
        <v>1.0249999999999999</v>
      </c>
      <c r="J38" s="1004"/>
      <c r="K38" s="121"/>
      <c r="L38" s="112"/>
      <c r="M38" s="990">
        <f>Data!N179</f>
        <v>1.0249999999999999</v>
      </c>
      <c r="N38" s="991"/>
      <c r="O38" s="111"/>
      <c r="P38" s="112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/>
      <c r="AW38" s="87"/>
    </row>
    <row r="39" spans="1:49" ht="14.25" customHeight="1">
      <c r="A39" s="1235" t="s">
        <v>172</v>
      </c>
      <c r="B39" s="1049"/>
      <c r="C39" s="1049"/>
      <c r="D39" s="1049"/>
      <c r="E39" s="1049"/>
      <c r="F39" s="1049"/>
      <c r="G39" s="1050"/>
      <c r="H39" s="1242" t="s">
        <v>43</v>
      </c>
      <c r="I39" s="1005">
        <f>(I38/Data!K62-1)*Data!H177</f>
        <v>0</v>
      </c>
      <c r="J39" s="1004"/>
      <c r="K39" s="123"/>
      <c r="L39" s="112"/>
      <c r="M39" s="1001">
        <f>(M38/Data!K62-1)*Data!M170</f>
        <v>0</v>
      </c>
      <c r="N39" s="1002"/>
      <c r="O39" s="113"/>
      <c r="P39" s="112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/>
      <c r="AW39" s="87"/>
    </row>
    <row r="40" spans="1:49" ht="14.25" customHeight="1">
      <c r="A40" s="1227" t="s">
        <v>173</v>
      </c>
      <c r="B40" s="1136"/>
      <c r="C40" s="1136"/>
      <c r="D40" s="1136"/>
      <c r="E40" s="1136"/>
      <c r="F40" s="1136"/>
      <c r="G40" s="1137"/>
      <c r="H40" s="1230"/>
      <c r="I40" s="125"/>
      <c r="J40" s="119"/>
      <c r="K40" s="119"/>
      <c r="L40" s="116"/>
      <c r="M40" s="1008"/>
      <c r="N40" s="1009"/>
      <c r="O40" s="120"/>
      <c r="P40" s="116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/>
      <c r="AW40" s="87"/>
    </row>
    <row r="41" spans="1:49" ht="14.25" customHeight="1">
      <c r="A41" s="1245" t="s">
        <v>174</v>
      </c>
      <c r="B41" s="1246"/>
      <c r="C41" s="1246"/>
      <c r="D41" s="1246"/>
      <c r="E41" s="1246"/>
      <c r="F41" s="1246"/>
      <c r="G41" s="1247"/>
      <c r="H41" s="1234" t="s">
        <v>43</v>
      </c>
      <c r="I41" s="1005">
        <f>Data!J124</f>
        <v>258.3</v>
      </c>
      <c r="J41" s="1004"/>
      <c r="K41" s="121"/>
      <c r="L41" s="112"/>
      <c r="M41" s="990">
        <f>Data!R124</f>
        <v>0</v>
      </c>
      <c r="N41" s="991"/>
      <c r="O41" s="111"/>
      <c r="P41" s="112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</row>
    <row r="42" spans="1:49" ht="14.25" customHeight="1">
      <c r="A42" s="1245" t="s">
        <v>175</v>
      </c>
      <c r="B42" s="1246"/>
      <c r="C42" s="1246"/>
      <c r="D42" s="1246"/>
      <c r="E42" s="1246"/>
      <c r="F42" s="1246"/>
      <c r="G42" s="1247"/>
      <c r="H42" s="1234" t="s">
        <v>43</v>
      </c>
      <c r="I42" s="1005">
        <f>Data!J132</f>
        <v>12</v>
      </c>
      <c r="J42" s="1004"/>
      <c r="K42" s="121"/>
      <c r="L42" s="112"/>
      <c r="M42" s="990">
        <f>Data!R132</f>
        <v>11</v>
      </c>
      <c r="N42" s="991"/>
      <c r="O42" s="121"/>
      <c r="P42" s="112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</row>
    <row r="43" spans="1:49" ht="14.25" customHeight="1">
      <c r="A43" s="1245" t="s">
        <v>176</v>
      </c>
      <c r="B43" s="1246"/>
      <c r="C43" s="1246"/>
      <c r="D43" s="1246"/>
      <c r="E43" s="1246"/>
      <c r="F43" s="1246"/>
      <c r="G43" s="1247"/>
      <c r="H43" s="1234" t="s">
        <v>43</v>
      </c>
      <c r="I43" s="1005">
        <f>Data!H138</f>
        <v>34</v>
      </c>
      <c r="J43" s="1004"/>
      <c r="K43" s="121"/>
      <c r="L43" s="112"/>
      <c r="M43" s="990">
        <f>Data!N138</f>
        <v>34</v>
      </c>
      <c r="N43" s="991"/>
      <c r="O43" s="111"/>
      <c r="P43" s="112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/>
      <c r="AW43" s="87"/>
    </row>
    <row r="44" spans="1:49" ht="14.25" customHeight="1">
      <c r="A44" s="1245" t="s">
        <v>24</v>
      </c>
      <c r="B44" s="1246"/>
      <c r="C44" s="1246"/>
      <c r="D44" s="1246"/>
      <c r="E44" s="1246"/>
      <c r="F44" s="1246"/>
      <c r="G44" s="1247"/>
      <c r="H44" s="1234" t="s">
        <v>43</v>
      </c>
      <c r="I44" s="1005">
        <f>Data!H140</f>
        <v>2</v>
      </c>
      <c r="J44" s="1004"/>
      <c r="K44" s="121"/>
      <c r="L44" s="112"/>
      <c r="M44" s="990">
        <f>Data!N140</f>
        <v>1</v>
      </c>
      <c r="N44" s="991"/>
      <c r="O44" s="111"/>
      <c r="P44" s="112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/>
      <c r="AW44" s="87"/>
    </row>
    <row r="45" spans="1:49" ht="14.25" customHeight="1">
      <c r="A45" s="1245" t="s">
        <v>177</v>
      </c>
      <c r="B45" s="1246"/>
      <c r="C45" s="1246" t="str">
        <f>IF([2]Données!D141="","",[2]Données!D141)</f>
        <v/>
      </c>
      <c r="D45" s="1246"/>
      <c r="E45" s="1246"/>
      <c r="F45" s="1246"/>
      <c r="G45" s="1247"/>
      <c r="H45" s="1234" t="s">
        <v>43</v>
      </c>
      <c r="I45" s="1005">
        <f>Data!H141</f>
        <v>1</v>
      </c>
      <c r="J45" s="1004"/>
      <c r="K45" s="121"/>
      <c r="L45" s="112"/>
      <c r="M45" s="990">
        <f>Data!N141</f>
        <v>1</v>
      </c>
      <c r="N45" s="991"/>
      <c r="O45" s="111"/>
      <c r="P45" s="112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/>
      <c r="AW45" s="87"/>
    </row>
    <row r="46" spans="1:49" ht="14.25" customHeight="1">
      <c r="A46" s="1245" t="s">
        <v>78</v>
      </c>
      <c r="B46" s="1246"/>
      <c r="C46" s="1246"/>
      <c r="D46" s="1246"/>
      <c r="E46" s="1246"/>
      <c r="F46" s="1246"/>
      <c r="G46" s="1247"/>
      <c r="H46" s="1234" t="s">
        <v>43</v>
      </c>
      <c r="I46" s="1005">
        <f>Data!H144</f>
        <v>307.3</v>
      </c>
      <c r="J46" s="1004"/>
      <c r="K46" s="121"/>
      <c r="L46" s="112"/>
      <c r="M46" s="990">
        <f>Data!N144</f>
        <v>47</v>
      </c>
      <c r="N46" s="991"/>
      <c r="O46" s="111"/>
      <c r="P46" s="112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/>
      <c r="AW46" s="87"/>
    </row>
    <row r="47" spans="1:49" ht="14.25" customHeight="1">
      <c r="A47" s="1241" t="s">
        <v>178</v>
      </c>
      <c r="B47" s="1058"/>
      <c r="C47" s="1058"/>
      <c r="D47" s="1058"/>
      <c r="E47" s="1058"/>
      <c r="F47" s="1058"/>
      <c r="G47" s="1059"/>
      <c r="H47" s="1242" t="s">
        <v>43</v>
      </c>
      <c r="I47" s="1011">
        <f>Data!H184</f>
        <v>6439.5320000000002</v>
      </c>
      <c r="J47" s="1012"/>
      <c r="K47" s="123"/>
      <c r="L47" s="114"/>
      <c r="M47" s="1001">
        <f>Data!M184</f>
        <v>4385.201</v>
      </c>
      <c r="N47" s="1002"/>
      <c r="O47" s="113"/>
      <c r="P47" s="114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</row>
    <row r="48" spans="1:49" ht="8.25" customHeight="1">
      <c r="A48" s="1184"/>
      <c r="B48" s="1184"/>
      <c r="C48" s="1184"/>
      <c r="D48" s="1184"/>
      <c r="E48" s="1184"/>
      <c r="F48" s="1184"/>
      <c r="G48" s="1184"/>
      <c r="H48" s="1248"/>
      <c r="I48" s="1248"/>
      <c r="J48" s="1248"/>
      <c r="K48" s="1248"/>
      <c r="L48" s="87"/>
      <c r="M48" s="1248"/>
      <c r="N48" s="1248"/>
      <c r="O48" s="1248"/>
      <c r="P48" s="1248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</row>
    <row r="49" spans="1:49" ht="14.25" customHeight="1">
      <c r="A49" s="1249" t="str">
        <f>IF(H49="","Total Cargo Un/loaded",IF(I47-M47&lt;0,"Total Cargo Loaded","Total Cargo Discharged"))</f>
        <v>Total Cargo Discharged</v>
      </c>
      <c r="B49" s="1250"/>
      <c r="C49" s="1250"/>
      <c r="D49" s="1250"/>
      <c r="E49" s="1250"/>
      <c r="F49" s="1250"/>
      <c r="G49" s="1251"/>
      <c r="H49" s="1013">
        <f>IF(M47="","",ROUND(+ABS(I47-M47),3))</f>
        <v>2054.3310000000001</v>
      </c>
      <c r="I49" s="1013"/>
      <c r="J49" s="1013"/>
      <c r="K49" s="1015" t="str">
        <f>IF(H49="","","MT")</f>
        <v>MT</v>
      </c>
      <c r="L49" s="87"/>
      <c r="M49" s="87"/>
      <c r="N49" s="1064" t="s">
        <v>179</v>
      </c>
      <c r="O49" s="1017">
        <f>Data!G32</f>
        <v>120</v>
      </c>
      <c r="P49" s="101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</row>
    <row r="50" spans="1:49" ht="14.25" customHeight="1">
      <c r="A50" s="1252"/>
      <c r="B50" s="1253"/>
      <c r="C50" s="1253"/>
      <c r="D50" s="1253"/>
      <c r="E50" s="1253"/>
      <c r="F50" s="1253"/>
      <c r="G50" s="1254"/>
      <c r="H50" s="1014"/>
      <c r="I50" s="1014"/>
      <c r="J50" s="1014"/>
      <c r="K50" s="1016"/>
      <c r="L50" s="87"/>
      <c r="M50" s="87"/>
      <c r="N50" s="1064" t="s">
        <v>180</v>
      </c>
      <c r="O50" s="1017">
        <f>Data!S187</f>
        <v>3098.201</v>
      </c>
      <c r="P50" s="101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7"/>
      <c r="AV50" s="87"/>
      <c r="AW50" s="87"/>
    </row>
    <row r="51" spans="1:49" ht="9" customHeight="1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</row>
    <row r="52" spans="1:49" s="97" customFormat="1" ht="13.5" customHeight="1">
      <c r="A52" s="1255"/>
      <c r="B52" s="1255"/>
      <c r="C52" s="1255"/>
      <c r="D52" s="1213" t="s">
        <v>527</v>
      </c>
      <c r="E52" s="1255"/>
      <c r="F52" s="1216"/>
      <c r="G52" s="1216"/>
      <c r="H52" s="1256"/>
      <c r="I52" s="1255"/>
      <c r="J52" s="1255"/>
      <c r="K52" s="1255"/>
      <c r="L52" s="1256"/>
      <c r="M52" s="1256"/>
      <c r="N52" s="1256"/>
      <c r="O52" s="1256"/>
      <c r="P52" s="1213" t="s">
        <v>145</v>
      </c>
      <c r="Q52" s="1256"/>
      <c r="R52" s="1255"/>
      <c r="S52" s="1255"/>
      <c r="T52" s="1255"/>
      <c r="U52" s="1255"/>
      <c r="V52" s="1255"/>
      <c r="W52" s="1255"/>
      <c r="X52" s="1255"/>
      <c r="Y52" s="1255"/>
      <c r="Z52" s="1255"/>
      <c r="AA52" s="1255"/>
      <c r="AB52" s="1255"/>
      <c r="AC52" s="1255"/>
      <c r="AD52" s="1255"/>
      <c r="AE52" s="1255"/>
      <c r="AF52" s="1255"/>
      <c r="AG52" s="1255"/>
      <c r="AH52" s="1255"/>
      <c r="AI52" s="1255"/>
      <c r="AJ52" s="1255"/>
      <c r="AK52" s="1255"/>
      <c r="AL52" s="1255"/>
      <c r="AM52" s="1255"/>
      <c r="AN52" s="1255"/>
      <c r="AO52" s="1255"/>
      <c r="AP52" s="1255"/>
      <c r="AQ52" s="1255"/>
      <c r="AR52" s="1255"/>
      <c r="AS52" s="1255"/>
      <c r="AT52" s="1255"/>
      <c r="AU52" s="1255"/>
      <c r="AV52" s="1255"/>
      <c r="AW52" s="1255"/>
    </row>
    <row r="53" spans="1:49" s="97" customFormat="1" ht="9" customHeight="1">
      <c r="A53" s="1255"/>
      <c r="B53" s="1255"/>
      <c r="C53" s="1255"/>
      <c r="D53" s="1255"/>
      <c r="E53" s="1255"/>
      <c r="F53" s="1255"/>
      <c r="G53" s="1255"/>
      <c r="H53" s="1255"/>
      <c r="I53" s="1255"/>
      <c r="J53" s="1255"/>
      <c r="K53" s="1255"/>
      <c r="L53" s="1255"/>
      <c r="M53" s="1255"/>
      <c r="N53" s="1255"/>
      <c r="O53" s="1255"/>
      <c r="P53" s="1255"/>
      <c r="Q53" s="1255"/>
      <c r="R53" s="1255"/>
      <c r="S53" s="1255"/>
      <c r="T53" s="1255"/>
      <c r="U53" s="1255"/>
      <c r="V53" s="1255"/>
      <c r="W53" s="1255"/>
      <c r="X53" s="1255"/>
      <c r="Y53" s="1255"/>
      <c r="Z53" s="1255"/>
      <c r="AA53" s="1255"/>
      <c r="AB53" s="1255"/>
      <c r="AC53" s="1255"/>
      <c r="AD53" s="1255"/>
      <c r="AE53" s="1255"/>
      <c r="AF53" s="1255"/>
      <c r="AG53" s="1255"/>
      <c r="AH53" s="1255"/>
      <c r="AI53" s="1255"/>
      <c r="AJ53" s="1255"/>
      <c r="AK53" s="1255"/>
      <c r="AL53" s="1255"/>
      <c r="AM53" s="1255"/>
      <c r="AN53" s="1255"/>
      <c r="AO53" s="1255"/>
      <c r="AP53" s="1255"/>
      <c r="AQ53" s="1255"/>
      <c r="AR53" s="1255"/>
      <c r="AS53" s="1255"/>
      <c r="AT53" s="1255"/>
      <c r="AU53" s="1255"/>
      <c r="AV53" s="1255"/>
      <c r="AW53" s="1255"/>
    </row>
    <row r="54" spans="1:49" s="97" customFormat="1" ht="9" customHeight="1">
      <c r="A54" s="1255"/>
      <c r="B54" s="1255"/>
      <c r="C54" s="1255"/>
      <c r="D54" s="1255"/>
      <c r="E54" s="1255"/>
      <c r="F54" s="1255"/>
      <c r="G54" s="1255"/>
      <c r="H54" s="1255"/>
      <c r="I54" s="1255"/>
      <c r="J54" s="1255"/>
      <c r="K54" s="1255"/>
      <c r="L54" s="1255"/>
      <c r="M54" s="1255"/>
      <c r="N54" s="1255"/>
      <c r="O54" s="1255"/>
      <c r="P54" s="1255"/>
      <c r="Q54" s="1255"/>
      <c r="R54" s="1255"/>
      <c r="S54" s="1255"/>
      <c r="T54" s="1255"/>
      <c r="U54" s="1255"/>
      <c r="V54" s="1255"/>
      <c r="W54" s="1255"/>
      <c r="X54" s="1255"/>
      <c r="Y54" s="1255"/>
      <c r="Z54" s="1255"/>
      <c r="AA54" s="1255"/>
      <c r="AB54" s="1255"/>
      <c r="AC54" s="1255"/>
      <c r="AD54" s="1255"/>
      <c r="AE54" s="1255"/>
      <c r="AF54" s="1255"/>
      <c r="AG54" s="1255"/>
      <c r="AH54" s="1255"/>
      <c r="AI54" s="1255"/>
      <c r="AJ54" s="1255"/>
      <c r="AK54" s="1255"/>
      <c r="AL54" s="1255"/>
      <c r="AM54" s="1255"/>
      <c r="AN54" s="1255"/>
      <c r="AO54" s="1255"/>
      <c r="AP54" s="1255"/>
      <c r="AQ54" s="1255"/>
      <c r="AR54" s="1255"/>
      <c r="AS54" s="1255"/>
      <c r="AT54" s="1255"/>
      <c r="AU54" s="1255"/>
      <c r="AV54" s="1255"/>
      <c r="AW54" s="1255"/>
    </row>
    <row r="55" spans="1:49" s="97" customFormat="1" ht="9" customHeight="1">
      <c r="A55" s="1255"/>
      <c r="B55" s="1255"/>
      <c r="C55" s="1255"/>
      <c r="D55" s="1255"/>
      <c r="E55" s="1255"/>
      <c r="F55" s="1255"/>
      <c r="G55" s="1255"/>
      <c r="H55" s="1255"/>
      <c r="I55" s="1255"/>
      <c r="J55" s="1255"/>
      <c r="K55" s="1255"/>
      <c r="L55" s="1255"/>
      <c r="M55" s="1255"/>
      <c r="N55" s="1255"/>
      <c r="O55" s="1255"/>
      <c r="P55" s="1255"/>
      <c r="Q55" s="1255"/>
      <c r="R55" s="1255"/>
      <c r="S55" s="1255"/>
      <c r="T55" s="1255"/>
      <c r="U55" s="1255"/>
      <c r="V55" s="1255"/>
      <c r="W55" s="1255"/>
      <c r="X55" s="1255"/>
      <c r="Y55" s="1255"/>
      <c r="Z55" s="1255"/>
      <c r="AA55" s="1255"/>
      <c r="AB55" s="1255"/>
      <c r="AC55" s="1255"/>
      <c r="AD55" s="1255"/>
      <c r="AE55" s="1255"/>
      <c r="AF55" s="1255"/>
      <c r="AG55" s="1255"/>
      <c r="AH55" s="1255"/>
      <c r="AI55" s="1255"/>
      <c r="AJ55" s="1255"/>
      <c r="AK55" s="1255"/>
      <c r="AL55" s="1255"/>
      <c r="AM55" s="1255"/>
      <c r="AN55" s="1255"/>
      <c r="AO55" s="1255"/>
      <c r="AP55" s="1255"/>
      <c r="AQ55" s="1255"/>
      <c r="AR55" s="1255"/>
      <c r="AS55" s="1255"/>
      <c r="AT55" s="1255"/>
      <c r="AU55" s="1255"/>
      <c r="AV55" s="1255"/>
      <c r="AW55" s="1255"/>
    </row>
    <row r="56" spans="1:49" s="97" customFormat="1" ht="9" customHeight="1">
      <c r="A56" s="1255"/>
      <c r="B56" s="1255"/>
      <c r="C56" s="1255"/>
      <c r="D56" s="1255"/>
      <c r="E56" s="1255"/>
      <c r="F56" s="1255"/>
      <c r="G56" s="1255"/>
      <c r="H56" s="1255"/>
      <c r="I56" s="1255"/>
      <c r="J56" s="1255"/>
      <c r="K56" s="1255"/>
      <c r="L56" s="1255"/>
      <c r="M56" s="1255"/>
      <c r="N56" s="1255"/>
      <c r="O56" s="1255"/>
      <c r="P56" s="1255"/>
      <c r="Q56" s="1255"/>
      <c r="R56" s="1255"/>
      <c r="S56" s="1255"/>
      <c r="T56" s="1255"/>
      <c r="U56" s="1255"/>
      <c r="V56" s="1255"/>
      <c r="W56" s="1255"/>
      <c r="X56" s="1255"/>
      <c r="Y56" s="1255"/>
      <c r="Z56" s="1255"/>
      <c r="AA56" s="1255"/>
      <c r="AB56" s="1255"/>
      <c r="AC56" s="1255"/>
      <c r="AD56" s="1255"/>
      <c r="AE56" s="1255"/>
      <c r="AF56" s="1255"/>
      <c r="AG56" s="1255"/>
      <c r="AH56" s="1255"/>
      <c r="AI56" s="1255"/>
      <c r="AJ56" s="1255"/>
      <c r="AK56" s="1255"/>
      <c r="AL56" s="1255"/>
      <c r="AM56" s="1255"/>
      <c r="AN56" s="1255"/>
      <c r="AO56" s="1255"/>
      <c r="AP56" s="1255"/>
      <c r="AQ56" s="1255"/>
      <c r="AR56" s="1255"/>
      <c r="AS56" s="1255"/>
      <c r="AT56" s="1255"/>
      <c r="AU56" s="1255"/>
      <c r="AV56" s="1255"/>
      <c r="AW56" s="1255"/>
    </row>
    <row r="57" spans="1:49" s="97" customFormat="1" ht="9" customHeight="1">
      <c r="A57" s="1255"/>
      <c r="B57" s="1255"/>
      <c r="C57" s="1255"/>
      <c r="D57" s="1255"/>
      <c r="E57" s="1255"/>
      <c r="F57" s="1255"/>
      <c r="G57" s="1255"/>
      <c r="H57" s="1255"/>
      <c r="I57" s="1255"/>
      <c r="J57" s="1255"/>
      <c r="K57" s="1255"/>
      <c r="L57" s="1255"/>
      <c r="M57" s="1255"/>
      <c r="N57" s="1255"/>
      <c r="O57" s="1255"/>
      <c r="P57" s="1255"/>
      <c r="Q57" s="1255"/>
      <c r="R57" s="1255"/>
      <c r="S57" s="1255"/>
      <c r="T57" s="1255"/>
      <c r="U57" s="1255"/>
      <c r="V57" s="1255"/>
      <c r="W57" s="1255"/>
      <c r="X57" s="1255"/>
      <c r="Y57" s="1255"/>
      <c r="Z57" s="1255"/>
      <c r="AA57" s="1255"/>
      <c r="AB57" s="1255"/>
      <c r="AC57" s="1255"/>
      <c r="AD57" s="1255"/>
      <c r="AE57" s="1255"/>
      <c r="AF57" s="1255"/>
      <c r="AG57" s="1255"/>
      <c r="AH57" s="1255"/>
      <c r="AI57" s="1255"/>
      <c r="AJ57" s="1255"/>
      <c r="AK57" s="1255"/>
      <c r="AL57" s="1255"/>
      <c r="AM57" s="1255"/>
      <c r="AN57" s="1255"/>
      <c r="AO57" s="1255"/>
      <c r="AP57" s="1255"/>
      <c r="AQ57" s="1255"/>
      <c r="AR57" s="1255"/>
      <c r="AS57" s="1255"/>
      <c r="AT57" s="1255"/>
      <c r="AU57" s="1255"/>
      <c r="AV57" s="1255"/>
      <c r="AW57" s="1255"/>
    </row>
    <row r="58" spans="1:49" ht="11.25" customHeight="1">
      <c r="A58" s="1257"/>
      <c r="B58" s="87"/>
      <c r="C58" s="87"/>
      <c r="D58" s="87"/>
      <c r="E58" s="1215"/>
      <c r="F58" s="1215"/>
      <c r="G58" s="1216"/>
      <c r="H58" s="1216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/>
    </row>
    <row r="59" spans="1:49" ht="11.25" customHeight="1">
      <c r="A59" s="87"/>
      <c r="B59" s="87"/>
      <c r="C59" s="126"/>
      <c r="D59" s="1258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</row>
    <row r="60" spans="1:49" ht="9.75" customHeight="1">
      <c r="A60" s="1218"/>
      <c r="B60" s="87"/>
      <c r="C60" s="87"/>
      <c r="D60" s="87"/>
      <c r="E60" s="87"/>
      <c r="F60" s="1218"/>
      <c r="G60" s="87"/>
      <c r="H60" s="87"/>
      <c r="I60" s="87"/>
      <c r="J60" s="87"/>
      <c r="K60" s="87"/>
      <c r="L60" s="126"/>
      <c r="M60" s="1218"/>
      <c r="N60" s="87"/>
      <c r="O60" s="87"/>
      <c r="P60" s="1219"/>
      <c r="Q60" s="1218"/>
      <c r="R60" s="1218"/>
      <c r="S60" s="1218"/>
      <c r="T60" s="1218"/>
      <c r="U60" s="1218"/>
      <c r="V60" s="1218"/>
      <c r="W60" s="1218"/>
      <c r="X60" s="1218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</row>
    <row r="61" spans="1:49" ht="8.25" customHeight="1">
      <c r="A61" s="1218"/>
      <c r="B61" s="87"/>
      <c r="C61" s="1220"/>
      <c r="D61" s="1220"/>
      <c r="E61" s="1218"/>
      <c r="F61" s="87"/>
      <c r="G61" s="87"/>
      <c r="H61" s="87"/>
      <c r="I61" s="87"/>
      <c r="J61" s="87"/>
      <c r="K61" s="87"/>
      <c r="L61" s="87"/>
      <c r="M61" s="1219"/>
      <c r="N61" s="87"/>
      <c r="O61" s="87"/>
      <c r="P61" s="1218"/>
      <c r="Q61" s="1218"/>
      <c r="R61" s="1218"/>
      <c r="S61" s="1218"/>
      <c r="T61" s="1218"/>
      <c r="U61" s="1218"/>
      <c r="V61" s="1218"/>
      <c r="W61" s="1218"/>
      <c r="X61" s="1218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</row>
    <row r="62" spans="1:49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</row>
    <row r="63" spans="1:49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</row>
    <row r="64" spans="1:49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</row>
    <row r="66" spans="1:49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/>
      <c r="AW66" s="87"/>
    </row>
    <row r="67" spans="1:49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/>
      <c r="AW67" s="87"/>
    </row>
    <row r="68" spans="1:49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</row>
    <row r="69" spans="1:49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</row>
    <row r="70" spans="1:49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/>
      <c r="AW70" s="87"/>
    </row>
    <row r="71" spans="1:49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</row>
    <row r="72" spans="1:49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/>
      <c r="AW72" s="87"/>
    </row>
    <row r="73" spans="1:49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7"/>
      <c r="AM73" s="87"/>
      <c r="AN73" s="87"/>
      <c r="AO73" s="87"/>
      <c r="AP73" s="87"/>
      <c r="AQ73" s="87"/>
      <c r="AR73" s="87"/>
      <c r="AS73" s="87"/>
      <c r="AT73" s="87"/>
      <c r="AU73" s="87"/>
      <c r="AV73" s="87"/>
      <c r="AW73" s="87"/>
    </row>
    <row r="74" spans="1:49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</row>
    <row r="75" spans="1:49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</row>
    <row r="76" spans="1:49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</row>
    <row r="77" spans="1:49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</row>
    <row r="78" spans="1:49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</row>
    <row r="79" spans="1:49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  <c r="AL79" s="87"/>
      <c r="AM79" s="87"/>
      <c r="AN79" s="87"/>
      <c r="AO79" s="87"/>
      <c r="AP79" s="87"/>
      <c r="AQ79" s="87"/>
      <c r="AR79" s="87"/>
      <c r="AS79" s="87"/>
      <c r="AT79" s="87"/>
      <c r="AU79" s="87"/>
      <c r="AV79" s="87"/>
      <c r="AW79" s="87"/>
    </row>
    <row r="80" spans="1:49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/>
      <c r="AW80" s="87"/>
    </row>
    <row r="81" spans="1:49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</row>
    <row r="82" spans="1:49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/>
      <c r="AW82" s="87"/>
    </row>
    <row r="83" spans="1:49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</row>
    <row r="84" spans="1:49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</row>
    <row r="85" spans="1:49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</row>
    <row r="86" spans="1:49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</row>
    <row r="87" spans="1:49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</row>
    <row r="89" spans="1:49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</row>
    <row r="90" spans="1:49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</row>
    <row r="91" spans="1:49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</row>
    <row r="92" spans="1:49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</row>
    <row r="93" spans="1:49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</row>
    <row r="94" spans="1:49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/>
      <c r="AW94" s="87"/>
    </row>
    <row r="95" spans="1:49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/>
      <c r="AW95" s="87"/>
    </row>
    <row r="96" spans="1:49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/>
      <c r="AW96" s="87"/>
    </row>
    <row r="97" spans="1:49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</row>
    <row r="98" spans="1:49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</row>
    <row r="99" spans="1:49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  <c r="AU99" s="87"/>
      <c r="AV99" s="87"/>
      <c r="AW99" s="87"/>
    </row>
    <row r="100" spans="1:49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</row>
    <row r="101" spans="1:49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</row>
    <row r="102" spans="1:49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</row>
    <row r="103" spans="1:49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</row>
    <row r="104" spans="1:49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/>
      <c r="AW104" s="87"/>
    </row>
    <row r="105" spans="1:49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  <c r="AQ105" s="87"/>
      <c r="AR105" s="87"/>
      <c r="AS105" s="87"/>
      <c r="AT105" s="87"/>
      <c r="AU105" s="87"/>
      <c r="AV105" s="87"/>
      <c r="AW105" s="87"/>
    </row>
    <row r="106" spans="1:49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</row>
    <row r="107" spans="1:49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</row>
    <row r="108" spans="1:49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</row>
    <row r="109" spans="1:49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/>
      <c r="AW109" s="87"/>
    </row>
    <row r="110" spans="1:49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</row>
    <row r="111" spans="1:49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</row>
    <row r="112" spans="1:49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  <c r="AM112" s="87"/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</row>
    <row r="113" spans="1:49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  <c r="AL113" s="87"/>
      <c r="AM113" s="87"/>
      <c r="AN113" s="87"/>
      <c r="AO113" s="87"/>
      <c r="AP113" s="87"/>
      <c r="AQ113" s="87"/>
      <c r="AR113" s="87"/>
      <c r="AS113" s="87"/>
      <c r="AT113" s="87"/>
      <c r="AU113" s="87"/>
      <c r="AV113" s="87"/>
      <c r="AW113" s="87"/>
    </row>
    <row r="114" spans="1:49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  <c r="AL114" s="87"/>
      <c r="AM114" s="87"/>
      <c r="AN114" s="87"/>
      <c r="AO114" s="87"/>
      <c r="AP114" s="87"/>
      <c r="AQ114" s="87"/>
      <c r="AR114" s="87"/>
      <c r="AS114" s="87"/>
      <c r="AT114" s="87"/>
      <c r="AU114" s="87"/>
      <c r="AV114" s="87"/>
      <c r="AW114" s="87"/>
    </row>
    <row r="115" spans="1:49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/>
      <c r="AW115" s="87"/>
    </row>
    <row r="116" spans="1:49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</row>
    <row r="117" spans="1:49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</row>
    <row r="118" spans="1:49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</row>
    <row r="119" spans="1:49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/>
      <c r="AW119" s="87"/>
    </row>
    <row r="120" spans="1:49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</row>
    <row r="121" spans="1:49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</row>
    <row r="122" spans="1:49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/>
      <c r="AW122" s="87"/>
    </row>
    <row r="123" spans="1:49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</row>
    <row r="124" spans="1:49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/>
      <c r="AU124" s="87"/>
      <c r="AV124" s="87"/>
      <c r="AW124" s="87"/>
    </row>
    <row r="125" spans="1:49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</row>
    <row r="126" spans="1:49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</row>
    <row r="127" spans="1:49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/>
      <c r="AW127" s="87"/>
    </row>
    <row r="128" spans="1:49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</row>
    <row r="129" spans="1:49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</row>
    <row r="130" spans="1:49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/>
      <c r="AM130" s="87"/>
      <c r="AN130" s="87"/>
      <c r="AO130" s="87"/>
      <c r="AP130" s="87"/>
      <c r="AQ130" s="87"/>
      <c r="AR130" s="87"/>
      <c r="AS130" s="87"/>
      <c r="AT130" s="87"/>
      <c r="AU130" s="87"/>
      <c r="AV130" s="87"/>
      <c r="AW130" s="87"/>
    </row>
    <row r="131" spans="1:49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</row>
    <row r="132" spans="1:49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  <c r="AL132" s="87"/>
      <c r="AM132" s="87"/>
      <c r="AN132" s="87"/>
      <c r="AO132" s="87"/>
      <c r="AP132" s="87"/>
      <c r="AQ132" s="87"/>
      <c r="AR132" s="87"/>
      <c r="AS132" s="87"/>
      <c r="AT132" s="87"/>
      <c r="AU132" s="87"/>
      <c r="AV132" s="87"/>
      <c r="AW132" s="87"/>
    </row>
    <row r="133" spans="1:49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/>
      <c r="AW133" s="87"/>
    </row>
    <row r="134" spans="1:49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</row>
    <row r="135" spans="1:49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</row>
    <row r="136" spans="1:49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</row>
    <row r="137" spans="1:49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/>
      <c r="AW137" s="87"/>
    </row>
    <row r="138" spans="1:49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/>
      <c r="AW138" s="87"/>
    </row>
    <row r="139" spans="1:49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/>
      <c r="AM139" s="87"/>
      <c r="AN139" s="87"/>
      <c r="AO139" s="87"/>
      <c r="AP139" s="87"/>
      <c r="AQ139" s="87"/>
      <c r="AR139" s="87"/>
      <c r="AS139" s="87"/>
      <c r="AT139" s="87"/>
      <c r="AU139" s="87"/>
      <c r="AV139" s="87"/>
      <c r="AW139" s="87"/>
    </row>
    <row r="140" spans="1:49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</row>
    <row r="141" spans="1:49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/>
      <c r="AW141" s="87"/>
    </row>
    <row r="142" spans="1:49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/>
      <c r="AT142" s="87"/>
      <c r="AU142" s="87"/>
      <c r="AV142" s="87"/>
      <c r="AW142" s="87"/>
    </row>
    <row r="143" spans="1:49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/>
      <c r="AU143" s="87"/>
      <c r="AV143" s="87"/>
      <c r="AW143" s="87"/>
    </row>
    <row r="144" spans="1:49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</row>
    <row r="145" spans="1:49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/>
      <c r="AW145" s="87"/>
    </row>
    <row r="146" spans="1:49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</row>
    <row r="147" spans="1:49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  <c r="AL147" s="87"/>
      <c r="AM147" s="87"/>
      <c r="AN147" s="87"/>
      <c r="AO147" s="87"/>
      <c r="AP147" s="87"/>
      <c r="AQ147" s="87"/>
      <c r="AR147" s="87"/>
      <c r="AS147" s="87"/>
      <c r="AT147" s="87"/>
      <c r="AU147" s="87"/>
      <c r="AV147" s="87"/>
      <c r="AW147" s="87"/>
    </row>
    <row r="148" spans="1:49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87"/>
      <c r="AS148" s="87"/>
      <c r="AT148" s="87"/>
      <c r="AU148" s="87"/>
      <c r="AV148" s="87"/>
      <c r="AW148" s="87"/>
    </row>
    <row r="149" spans="1:49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  <c r="AM149" s="87"/>
      <c r="AN149" s="87"/>
      <c r="AO149" s="87"/>
      <c r="AP149" s="87"/>
      <c r="AQ149" s="87"/>
      <c r="AR149" s="87"/>
      <c r="AS149" s="87"/>
      <c r="AT149" s="87"/>
      <c r="AU149" s="87"/>
      <c r="AV149" s="87"/>
      <c r="AW149" s="87"/>
    </row>
    <row r="150" spans="1:49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  <c r="AM150" s="87"/>
      <c r="AN150" s="87"/>
      <c r="AO150" s="87"/>
      <c r="AP150" s="87"/>
      <c r="AQ150" s="87"/>
      <c r="AR150" s="87"/>
      <c r="AS150" s="87"/>
      <c r="AT150" s="87"/>
      <c r="AU150" s="87"/>
      <c r="AV150" s="87"/>
      <c r="AW150" s="87"/>
    </row>
    <row r="151" spans="1:49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87"/>
      <c r="AS151" s="87"/>
      <c r="AT151" s="87"/>
      <c r="AU151" s="87"/>
      <c r="AV151" s="87"/>
      <c r="AW151" s="87"/>
    </row>
    <row r="152" spans="1:49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  <c r="AM152" s="87"/>
      <c r="AN152" s="87"/>
      <c r="AO152" s="87"/>
      <c r="AP152" s="87"/>
      <c r="AQ152" s="87"/>
      <c r="AR152" s="87"/>
      <c r="AS152" s="87"/>
      <c r="AT152" s="87"/>
      <c r="AU152" s="87"/>
      <c r="AV152" s="87"/>
      <c r="AW152" s="87"/>
    </row>
    <row r="153" spans="1:49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  <c r="AL153" s="87"/>
      <c r="AM153" s="87"/>
      <c r="AN153" s="87"/>
      <c r="AO153" s="87"/>
      <c r="AP153" s="87"/>
      <c r="AQ153" s="87"/>
      <c r="AR153" s="87"/>
      <c r="AS153" s="87"/>
      <c r="AT153" s="87"/>
      <c r="AU153" s="87"/>
      <c r="AV153" s="87"/>
      <c r="AW153" s="87"/>
    </row>
    <row r="154" spans="1:49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  <c r="AM154" s="87"/>
      <c r="AN154" s="87"/>
      <c r="AO154" s="87"/>
      <c r="AP154" s="87"/>
      <c r="AQ154" s="87"/>
      <c r="AR154" s="87"/>
      <c r="AS154" s="87"/>
      <c r="AT154" s="87"/>
      <c r="AU154" s="87"/>
      <c r="AV154" s="87"/>
      <c r="AW154" s="87"/>
    </row>
    <row r="155" spans="1:49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</row>
    <row r="156" spans="1:49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  <c r="AL156" s="87"/>
      <c r="AM156" s="87"/>
      <c r="AN156" s="87"/>
      <c r="AO156" s="87"/>
      <c r="AP156" s="87"/>
      <c r="AQ156" s="87"/>
      <c r="AR156" s="87"/>
      <c r="AS156" s="87"/>
      <c r="AT156" s="87"/>
      <c r="AU156" s="87"/>
      <c r="AV156" s="87"/>
      <c r="AW156" s="87"/>
    </row>
    <row r="157" spans="1:49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  <c r="AL157" s="87"/>
      <c r="AM157" s="87"/>
      <c r="AN157" s="87"/>
      <c r="AO157" s="87"/>
      <c r="AP157" s="87"/>
      <c r="AQ157" s="87"/>
      <c r="AR157" s="87"/>
      <c r="AS157" s="87"/>
      <c r="AT157" s="87"/>
      <c r="AU157" s="87"/>
      <c r="AV157" s="87"/>
      <c r="AW157" s="87"/>
    </row>
    <row r="158" spans="1:49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  <c r="AM158" s="87"/>
      <c r="AN158" s="87"/>
      <c r="AO158" s="87"/>
      <c r="AP158" s="87"/>
      <c r="AQ158" s="87"/>
      <c r="AR158" s="87"/>
      <c r="AS158" s="87"/>
      <c r="AT158" s="87"/>
      <c r="AU158" s="87"/>
      <c r="AV158" s="87"/>
      <c r="AW158" s="87"/>
    </row>
    <row r="159" spans="1:49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  <c r="AM159" s="87"/>
      <c r="AN159" s="87"/>
      <c r="AO159" s="87"/>
      <c r="AP159" s="87"/>
      <c r="AQ159" s="87"/>
      <c r="AR159" s="87"/>
      <c r="AS159" s="87"/>
      <c r="AT159" s="87"/>
      <c r="AU159" s="87"/>
      <c r="AV159" s="87"/>
      <c r="AW159" s="87"/>
    </row>
    <row r="160" spans="1:49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  <c r="AL160" s="87"/>
      <c r="AM160" s="87"/>
      <c r="AN160" s="87"/>
      <c r="AO160" s="87"/>
      <c r="AP160" s="87"/>
      <c r="AQ160" s="87"/>
      <c r="AR160" s="87"/>
      <c r="AS160" s="87"/>
      <c r="AT160" s="87"/>
      <c r="AU160" s="87"/>
      <c r="AV160" s="87"/>
      <c r="AW160" s="87"/>
    </row>
    <row r="161" spans="1:49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</row>
    <row r="162" spans="1:49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</row>
    <row r="163" spans="1:49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  <c r="AL163" s="87"/>
      <c r="AM163" s="87"/>
      <c r="AN163" s="87"/>
      <c r="AO163" s="87"/>
      <c r="AP163" s="87"/>
      <c r="AQ163" s="87"/>
      <c r="AR163" s="87"/>
      <c r="AS163" s="87"/>
      <c r="AT163" s="87"/>
      <c r="AU163" s="87"/>
      <c r="AV163" s="87"/>
      <c r="AW163" s="87"/>
    </row>
    <row r="164" spans="1:49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</row>
    <row r="165" spans="1:49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</row>
    <row r="166" spans="1:49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  <c r="AL166" s="87"/>
      <c r="AM166" s="87"/>
      <c r="AN166" s="87"/>
      <c r="AO166" s="87"/>
      <c r="AP166" s="87"/>
      <c r="AQ166" s="87"/>
      <c r="AR166" s="87"/>
      <c r="AS166" s="87"/>
      <c r="AT166" s="87"/>
      <c r="AU166" s="87"/>
      <c r="AV166" s="87"/>
      <c r="AW166" s="87"/>
    </row>
    <row r="167" spans="1:49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</row>
    <row r="168" spans="1:49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  <c r="AL168" s="87"/>
      <c r="AM168" s="87"/>
      <c r="AN168" s="87"/>
      <c r="AO168" s="87"/>
      <c r="AP168" s="87"/>
      <c r="AQ168" s="87"/>
      <c r="AR168" s="87"/>
      <c r="AS168" s="87"/>
      <c r="AT168" s="87"/>
      <c r="AU168" s="87"/>
      <c r="AV168" s="87"/>
      <c r="AW168" s="87"/>
    </row>
    <row r="169" spans="1:49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</row>
    <row r="170" spans="1:49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  <c r="AL170" s="87"/>
      <c r="AM170" s="87"/>
      <c r="AN170" s="87"/>
      <c r="AO170" s="87"/>
      <c r="AP170" s="87"/>
      <c r="AQ170" s="87"/>
      <c r="AR170" s="87"/>
      <c r="AS170" s="87"/>
      <c r="AT170" s="87"/>
      <c r="AU170" s="87"/>
      <c r="AV170" s="87"/>
      <c r="AW170" s="87"/>
    </row>
    <row r="171" spans="1:49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  <c r="AL171" s="87"/>
      <c r="AM171" s="87"/>
      <c r="AN171" s="87"/>
      <c r="AO171" s="87"/>
      <c r="AP171" s="87"/>
      <c r="AQ171" s="87"/>
      <c r="AR171" s="87"/>
      <c r="AS171" s="87"/>
      <c r="AT171" s="87"/>
      <c r="AU171" s="87"/>
      <c r="AV171" s="87"/>
      <c r="AW171" s="87"/>
    </row>
    <row r="172" spans="1:49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</row>
    <row r="173" spans="1:49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</row>
    <row r="174" spans="1:49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  <c r="AL174" s="87"/>
      <c r="AM174" s="87"/>
      <c r="AN174" s="87"/>
      <c r="AO174" s="87"/>
      <c r="AP174" s="87"/>
      <c r="AQ174" s="87"/>
      <c r="AR174" s="87"/>
      <c r="AS174" s="87"/>
      <c r="AT174" s="87"/>
      <c r="AU174" s="87"/>
      <c r="AV174" s="87"/>
      <c r="AW174" s="87"/>
    </row>
    <row r="175" spans="1:49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87"/>
      <c r="AS175" s="87"/>
      <c r="AT175" s="87"/>
      <c r="AU175" s="87"/>
      <c r="AV175" s="87"/>
      <c r="AW175" s="87"/>
    </row>
    <row r="176" spans="1:49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87"/>
      <c r="AS176" s="87"/>
      <c r="AT176" s="87"/>
      <c r="AU176" s="87"/>
      <c r="AV176" s="87"/>
      <c r="AW176" s="87"/>
    </row>
    <row r="177" spans="1:49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  <c r="AL177" s="87"/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</row>
    <row r="178" spans="1:49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  <c r="AL178" s="87"/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</row>
    <row r="179" spans="1:49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  <c r="AL179" s="87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</row>
    <row r="180" spans="1:49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  <c r="AL180" s="87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</row>
    <row r="181" spans="1:49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  <c r="AL181" s="87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</row>
    <row r="182" spans="1:49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  <c r="AL182" s="87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</row>
    <row r="183" spans="1:49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  <c r="AL183" s="87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</row>
    <row r="184" spans="1:49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  <c r="AL184" s="87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</row>
    <row r="185" spans="1:49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  <c r="AL185" s="87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</row>
    <row r="186" spans="1:49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</row>
    <row r="187" spans="1:49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</row>
    <row r="188" spans="1:49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</row>
    <row r="189" spans="1:49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</row>
    <row r="190" spans="1:49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</row>
    <row r="191" spans="1:49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87"/>
      <c r="AS191" s="87"/>
      <c r="AT191" s="87"/>
      <c r="AU191" s="87"/>
      <c r="AV191" s="87"/>
      <c r="AW191" s="87"/>
    </row>
    <row r="192" spans="1:49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</row>
    <row r="193" spans="1:49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</row>
    <row r="194" spans="1:49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</row>
    <row r="195" spans="1:49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</row>
    <row r="196" spans="1:49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</row>
    <row r="197" spans="1:49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  <c r="AL197" s="87"/>
      <c r="AM197" s="87"/>
      <c r="AN197" s="87"/>
      <c r="AO197" s="87"/>
      <c r="AP197" s="87"/>
      <c r="AQ197" s="87"/>
      <c r="AR197" s="87"/>
      <c r="AS197" s="87"/>
      <c r="AT197" s="87"/>
      <c r="AU197" s="87"/>
      <c r="AV197" s="87"/>
      <c r="AW197" s="87"/>
    </row>
    <row r="198" spans="1:49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  <c r="AL198" s="87"/>
      <c r="AM198" s="87"/>
      <c r="AN198" s="87"/>
      <c r="AO198" s="87"/>
      <c r="AP198" s="87"/>
      <c r="AQ198" s="87"/>
      <c r="AR198" s="87"/>
      <c r="AS198" s="87"/>
      <c r="AT198" s="87"/>
      <c r="AU198" s="87"/>
      <c r="AV198" s="87"/>
      <c r="AW198" s="87"/>
    </row>
    <row r="199" spans="1:49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  <c r="AL199" s="87"/>
      <c r="AM199" s="87"/>
      <c r="AN199" s="87"/>
      <c r="AO199" s="87"/>
      <c r="AP199" s="87"/>
      <c r="AQ199" s="87"/>
      <c r="AR199" s="87"/>
      <c r="AS199" s="87"/>
      <c r="AT199" s="87"/>
      <c r="AU199" s="87"/>
      <c r="AV199" s="87"/>
      <c r="AW199" s="87"/>
    </row>
    <row r="200" spans="1:49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  <c r="AL200" s="87"/>
      <c r="AM200" s="87"/>
      <c r="AN200" s="87"/>
      <c r="AO200" s="87"/>
      <c r="AP200" s="87"/>
      <c r="AQ200" s="87"/>
      <c r="AR200" s="87"/>
      <c r="AS200" s="87"/>
      <c r="AT200" s="87"/>
      <c r="AU200" s="87"/>
      <c r="AV200" s="87"/>
      <c r="AW200" s="87"/>
    </row>
    <row r="201" spans="1:49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  <c r="AL201" s="87"/>
      <c r="AM201" s="87"/>
      <c r="AN201" s="87"/>
      <c r="AO201" s="87"/>
      <c r="AP201" s="87"/>
      <c r="AQ201" s="87"/>
      <c r="AR201" s="87"/>
      <c r="AS201" s="87"/>
      <c r="AT201" s="87"/>
      <c r="AU201" s="87"/>
      <c r="AV201" s="87"/>
      <c r="AW201" s="87"/>
    </row>
    <row r="202" spans="1:49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  <c r="AL202" s="87"/>
      <c r="AM202" s="87"/>
      <c r="AN202" s="87"/>
      <c r="AO202" s="87"/>
      <c r="AP202" s="87"/>
      <c r="AQ202" s="87"/>
      <c r="AR202" s="87"/>
      <c r="AS202" s="87"/>
      <c r="AT202" s="87"/>
      <c r="AU202" s="87"/>
      <c r="AV202" s="87"/>
      <c r="AW202" s="87"/>
    </row>
    <row r="203" spans="1:49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  <c r="AL203" s="87"/>
      <c r="AM203" s="87"/>
      <c r="AN203" s="87"/>
      <c r="AO203" s="87"/>
      <c r="AP203" s="87"/>
      <c r="AQ203" s="87"/>
      <c r="AR203" s="87"/>
      <c r="AS203" s="87"/>
      <c r="AT203" s="87"/>
      <c r="AU203" s="87"/>
      <c r="AV203" s="87"/>
      <c r="AW203" s="87"/>
    </row>
    <row r="204" spans="1:49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  <c r="AL204" s="87"/>
      <c r="AM204" s="87"/>
      <c r="AN204" s="87"/>
      <c r="AO204" s="87"/>
      <c r="AP204" s="87"/>
      <c r="AQ204" s="87"/>
      <c r="AR204" s="87"/>
      <c r="AS204" s="87"/>
      <c r="AT204" s="87"/>
      <c r="AU204" s="87"/>
      <c r="AV204" s="87"/>
      <c r="AW204" s="87"/>
    </row>
    <row r="205" spans="1:49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  <c r="AL205" s="87"/>
      <c r="AM205" s="87"/>
      <c r="AN205" s="87"/>
      <c r="AO205" s="87"/>
      <c r="AP205" s="87"/>
      <c r="AQ205" s="87"/>
      <c r="AR205" s="87"/>
      <c r="AS205" s="87"/>
      <c r="AT205" s="87"/>
      <c r="AU205" s="87"/>
      <c r="AV205" s="87"/>
      <c r="AW205" s="87"/>
    </row>
    <row r="206" spans="1:49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  <c r="AL206" s="87"/>
      <c r="AM206" s="87"/>
      <c r="AN206" s="87"/>
      <c r="AO206" s="87"/>
      <c r="AP206" s="87"/>
      <c r="AQ206" s="87"/>
      <c r="AR206" s="87"/>
      <c r="AS206" s="87"/>
      <c r="AT206" s="87"/>
      <c r="AU206" s="87"/>
      <c r="AV206" s="87"/>
      <c r="AW206" s="87"/>
    </row>
    <row r="207" spans="1:49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</row>
    <row r="208" spans="1:49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  <c r="AL208" s="87"/>
      <c r="AM208" s="87"/>
      <c r="AN208" s="87"/>
      <c r="AO208" s="87"/>
      <c r="AP208" s="87"/>
      <c r="AQ208" s="87"/>
      <c r="AR208" s="87"/>
      <c r="AS208" s="87"/>
      <c r="AT208" s="87"/>
      <c r="AU208" s="87"/>
      <c r="AV208" s="87"/>
      <c r="AW208" s="87"/>
    </row>
    <row r="209" spans="1:49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  <c r="AM209" s="87"/>
      <c r="AN209" s="87"/>
      <c r="AO209" s="87"/>
      <c r="AP209" s="87"/>
      <c r="AQ209" s="87"/>
      <c r="AR209" s="87"/>
      <c r="AS209" s="87"/>
      <c r="AT209" s="87"/>
      <c r="AU209" s="87"/>
      <c r="AV209" s="87"/>
      <c r="AW209" s="87"/>
    </row>
    <row r="210" spans="1:49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  <c r="AL210" s="87"/>
      <c r="AM210" s="87"/>
      <c r="AN210" s="87"/>
      <c r="AO210" s="87"/>
      <c r="AP210" s="87"/>
      <c r="AQ210" s="87"/>
      <c r="AR210" s="87"/>
      <c r="AS210" s="87"/>
      <c r="AT210" s="87"/>
      <c r="AU210" s="87"/>
      <c r="AV210" s="87"/>
      <c r="AW210" s="87"/>
    </row>
    <row r="211" spans="1:49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  <c r="AL211" s="87"/>
      <c r="AM211" s="87"/>
      <c r="AN211" s="87"/>
      <c r="AO211" s="87"/>
      <c r="AP211" s="87"/>
      <c r="AQ211" s="87"/>
      <c r="AR211" s="87"/>
      <c r="AS211" s="87"/>
      <c r="AT211" s="87"/>
      <c r="AU211" s="87"/>
      <c r="AV211" s="87"/>
      <c r="AW211" s="87"/>
    </row>
    <row r="212" spans="1:49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  <c r="AL212" s="87"/>
      <c r="AM212" s="87"/>
      <c r="AN212" s="87"/>
      <c r="AO212" s="87"/>
      <c r="AP212" s="87"/>
      <c r="AQ212" s="87"/>
      <c r="AR212" s="87"/>
      <c r="AS212" s="87"/>
      <c r="AT212" s="87"/>
      <c r="AU212" s="87"/>
      <c r="AV212" s="87"/>
      <c r="AW212" s="87"/>
    </row>
    <row r="213" spans="1:49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87"/>
      <c r="AS213" s="87"/>
      <c r="AT213" s="87"/>
      <c r="AU213" s="87"/>
      <c r="AV213" s="87"/>
      <c r="AW213" s="87"/>
    </row>
    <row r="214" spans="1:49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AS214" s="87"/>
      <c r="AT214" s="87"/>
      <c r="AU214" s="87"/>
      <c r="AV214" s="87"/>
      <c r="AW214" s="87"/>
    </row>
    <row r="215" spans="1:49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87"/>
      <c r="AS215" s="87"/>
      <c r="AT215" s="87"/>
      <c r="AU215" s="87"/>
      <c r="AV215" s="87"/>
      <c r="AW215" s="87"/>
    </row>
    <row r="216" spans="1:49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  <c r="AM216" s="87"/>
      <c r="AN216" s="87"/>
      <c r="AO216" s="87"/>
      <c r="AP216" s="87"/>
      <c r="AQ216" s="87"/>
      <c r="AR216" s="87"/>
      <c r="AS216" s="87"/>
      <c r="AT216" s="87"/>
      <c r="AU216" s="87"/>
      <c r="AV216" s="87"/>
      <c r="AW216" s="87"/>
    </row>
    <row r="217" spans="1:49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  <c r="AM217" s="87"/>
      <c r="AN217" s="87"/>
      <c r="AO217" s="87"/>
      <c r="AP217" s="87"/>
      <c r="AQ217" s="87"/>
      <c r="AR217" s="87"/>
      <c r="AS217" s="87"/>
      <c r="AT217" s="87"/>
      <c r="AU217" s="87"/>
      <c r="AV217" s="87"/>
      <c r="AW217" s="87"/>
    </row>
    <row r="218" spans="1:49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  <c r="AM218" s="87"/>
      <c r="AN218" s="87"/>
      <c r="AO218" s="87"/>
      <c r="AP218" s="87"/>
      <c r="AQ218" s="87"/>
      <c r="AR218" s="87"/>
      <c r="AS218" s="87"/>
      <c r="AT218" s="87"/>
      <c r="AU218" s="87"/>
      <c r="AV218" s="87"/>
      <c r="AW218" s="87"/>
    </row>
    <row r="219" spans="1:49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  <c r="AM219" s="87"/>
      <c r="AN219" s="87"/>
      <c r="AO219" s="87"/>
      <c r="AP219" s="87"/>
      <c r="AQ219" s="87"/>
      <c r="AR219" s="87"/>
      <c r="AS219" s="87"/>
      <c r="AT219" s="87"/>
      <c r="AU219" s="87"/>
      <c r="AV219" s="87"/>
      <c r="AW219" s="87"/>
    </row>
    <row r="220" spans="1:49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  <c r="AM220" s="87"/>
      <c r="AN220" s="87"/>
      <c r="AO220" s="87"/>
      <c r="AP220" s="87"/>
      <c r="AQ220" s="87"/>
      <c r="AR220" s="87"/>
      <c r="AS220" s="87"/>
      <c r="AT220" s="87"/>
      <c r="AU220" s="87"/>
      <c r="AV220" s="87"/>
      <c r="AW220" s="87"/>
    </row>
    <row r="221" spans="1:49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  <c r="AM221" s="87"/>
      <c r="AN221" s="87"/>
      <c r="AO221" s="87"/>
      <c r="AP221" s="87"/>
      <c r="AQ221" s="87"/>
      <c r="AR221" s="87"/>
      <c r="AS221" s="87"/>
      <c r="AT221" s="87"/>
      <c r="AU221" s="87"/>
      <c r="AV221" s="87"/>
      <c r="AW221" s="87"/>
    </row>
    <row r="222" spans="1:49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</row>
    <row r="223" spans="1:49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</row>
    <row r="224" spans="1:49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  <c r="AL224" s="87"/>
      <c r="AM224" s="87"/>
      <c r="AN224" s="87"/>
      <c r="AO224" s="87"/>
      <c r="AP224" s="87"/>
      <c r="AQ224" s="87"/>
      <c r="AR224" s="87"/>
      <c r="AS224" s="87"/>
      <c r="AT224" s="87"/>
      <c r="AU224" s="87"/>
      <c r="AV224" s="87"/>
      <c r="AW224" s="87"/>
    </row>
    <row r="225" spans="1:49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  <c r="AM225" s="87"/>
      <c r="AN225" s="87"/>
      <c r="AO225" s="87"/>
      <c r="AP225" s="87"/>
      <c r="AQ225" s="87"/>
      <c r="AR225" s="87"/>
      <c r="AS225" s="87"/>
      <c r="AT225" s="87"/>
      <c r="AU225" s="87"/>
      <c r="AV225" s="87"/>
      <c r="AW225" s="87"/>
    </row>
    <row r="226" spans="1:49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  <c r="AM226" s="87"/>
      <c r="AN226" s="87"/>
      <c r="AO226" s="87"/>
      <c r="AP226" s="87"/>
      <c r="AQ226" s="87"/>
      <c r="AR226" s="87"/>
      <c r="AS226" s="87"/>
      <c r="AT226" s="87"/>
      <c r="AU226" s="87"/>
      <c r="AV226" s="87"/>
      <c r="AW226" s="87"/>
    </row>
    <row r="227" spans="1:49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87"/>
      <c r="AN227" s="87"/>
      <c r="AO227" s="87"/>
      <c r="AP227" s="87"/>
      <c r="AQ227" s="87"/>
      <c r="AR227" s="87"/>
      <c r="AS227" s="87"/>
      <c r="AT227" s="87"/>
      <c r="AU227" s="87"/>
      <c r="AV227" s="87"/>
      <c r="AW227" s="87"/>
    </row>
    <row r="228" spans="1:49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87"/>
      <c r="AN228" s="87"/>
      <c r="AO228" s="87"/>
      <c r="AP228" s="87"/>
      <c r="AQ228" s="87"/>
      <c r="AR228" s="87"/>
      <c r="AS228" s="87"/>
      <c r="AT228" s="87"/>
      <c r="AU228" s="87"/>
      <c r="AV228" s="87"/>
      <c r="AW228" s="87"/>
    </row>
    <row r="229" spans="1:49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87"/>
      <c r="AN229" s="87"/>
      <c r="AO229" s="87"/>
      <c r="AP229" s="87"/>
      <c r="AQ229" s="87"/>
      <c r="AR229" s="87"/>
      <c r="AS229" s="87"/>
      <c r="AT229" s="87"/>
      <c r="AU229" s="87"/>
      <c r="AV229" s="87"/>
      <c r="AW229" s="87"/>
    </row>
    <row r="230" spans="1:49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</row>
    <row r="231" spans="1:49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</row>
    <row r="232" spans="1:49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</row>
    <row r="233" spans="1:49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</row>
    <row r="234" spans="1:49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  <c r="AL234" s="87"/>
      <c r="AM234" s="87"/>
      <c r="AN234" s="87"/>
      <c r="AO234" s="87"/>
      <c r="AP234" s="87"/>
      <c r="AQ234" s="87"/>
      <c r="AR234" s="87"/>
      <c r="AS234" s="87"/>
      <c r="AT234" s="87"/>
      <c r="AU234" s="87"/>
      <c r="AV234" s="87"/>
      <c r="AW234" s="87"/>
    </row>
    <row r="235" spans="1:49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  <c r="AL235" s="87"/>
      <c r="AM235" s="87"/>
      <c r="AN235" s="87"/>
      <c r="AO235" s="87"/>
      <c r="AP235" s="87"/>
      <c r="AQ235" s="87"/>
      <c r="AR235" s="87"/>
      <c r="AS235" s="87"/>
      <c r="AT235" s="87"/>
      <c r="AU235" s="87"/>
      <c r="AV235" s="87"/>
      <c r="AW235" s="87"/>
    </row>
    <row r="236" spans="1:49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  <c r="AL236" s="87"/>
      <c r="AM236" s="87"/>
      <c r="AN236" s="87"/>
      <c r="AO236" s="87"/>
      <c r="AP236" s="87"/>
      <c r="AQ236" s="87"/>
      <c r="AR236" s="87"/>
      <c r="AS236" s="87"/>
      <c r="AT236" s="87"/>
      <c r="AU236" s="87"/>
      <c r="AV236" s="87"/>
      <c r="AW236" s="87"/>
    </row>
    <row r="237" spans="1:49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  <c r="AL237" s="87"/>
      <c r="AM237" s="87"/>
      <c r="AN237" s="87"/>
      <c r="AO237" s="87"/>
      <c r="AP237" s="87"/>
      <c r="AQ237" s="87"/>
      <c r="AR237" s="87"/>
      <c r="AS237" s="87"/>
      <c r="AT237" s="87"/>
      <c r="AU237" s="87"/>
      <c r="AV237" s="87"/>
      <c r="AW237" s="87"/>
    </row>
    <row r="238" spans="1:49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87"/>
      <c r="AS238" s="87"/>
      <c r="AT238" s="87"/>
      <c r="AU238" s="87"/>
      <c r="AV238" s="87"/>
      <c r="AW238" s="87"/>
    </row>
    <row r="239" spans="1:49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87"/>
      <c r="AS239" s="87"/>
      <c r="AT239" s="87"/>
      <c r="AU239" s="87"/>
      <c r="AV239" s="87"/>
      <c r="AW239" s="87"/>
    </row>
    <row r="240" spans="1:49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</row>
    <row r="241" spans="1:49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</row>
    <row r="242" spans="1:49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</row>
    <row r="243" spans="1:49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</row>
    <row r="244" spans="1:49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</row>
    <row r="245" spans="1:49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  <c r="AL245" s="87"/>
      <c r="AM245" s="87"/>
      <c r="AN245" s="87"/>
      <c r="AO245" s="87"/>
      <c r="AP245" s="87"/>
      <c r="AQ245" s="87"/>
      <c r="AR245" s="87"/>
      <c r="AS245" s="87"/>
      <c r="AT245" s="87"/>
      <c r="AU245" s="87"/>
      <c r="AV245" s="87"/>
      <c r="AW245" s="87"/>
    </row>
    <row r="246" spans="1:49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  <c r="AL246" s="87"/>
      <c r="AM246" s="87"/>
      <c r="AN246" s="87"/>
      <c r="AO246" s="87"/>
      <c r="AP246" s="87"/>
      <c r="AQ246" s="87"/>
      <c r="AR246" s="87"/>
      <c r="AS246" s="87"/>
      <c r="AT246" s="87"/>
      <c r="AU246" s="87"/>
      <c r="AV246" s="87"/>
      <c r="AW246" s="87"/>
    </row>
    <row r="247" spans="1:49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  <c r="AL247" s="87"/>
      <c r="AM247" s="87"/>
      <c r="AN247" s="87"/>
      <c r="AO247" s="87"/>
      <c r="AP247" s="87"/>
      <c r="AQ247" s="87"/>
      <c r="AR247" s="87"/>
      <c r="AS247" s="87"/>
      <c r="AT247" s="87"/>
      <c r="AU247" s="87"/>
      <c r="AV247" s="87"/>
      <c r="AW247" s="87"/>
    </row>
    <row r="248" spans="1:49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  <c r="AL248" s="87"/>
      <c r="AM248" s="87"/>
      <c r="AN248" s="87"/>
      <c r="AO248" s="87"/>
      <c r="AP248" s="87"/>
      <c r="AQ248" s="87"/>
      <c r="AR248" s="87"/>
      <c r="AS248" s="87"/>
      <c r="AT248" s="87"/>
      <c r="AU248" s="87"/>
      <c r="AV248" s="87"/>
      <c r="AW248" s="87"/>
    </row>
    <row r="249" spans="1:49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  <c r="AL249" s="87"/>
      <c r="AM249" s="87"/>
      <c r="AN249" s="87"/>
      <c r="AO249" s="87"/>
      <c r="AP249" s="87"/>
      <c r="AQ249" s="87"/>
      <c r="AR249" s="87"/>
      <c r="AS249" s="87"/>
      <c r="AT249" s="87"/>
      <c r="AU249" s="87"/>
      <c r="AV249" s="87"/>
      <c r="AW249" s="87"/>
    </row>
    <row r="250" spans="1:49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</row>
    <row r="251" spans="1:49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</row>
    <row r="252" spans="1:49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</row>
    <row r="253" spans="1:49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</row>
    <row r="254" spans="1:49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</row>
    <row r="255" spans="1:49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  <c r="AL255" s="87"/>
      <c r="AM255" s="87"/>
      <c r="AN255" s="87"/>
      <c r="AO255" s="87"/>
      <c r="AP255" s="87"/>
      <c r="AQ255" s="87"/>
      <c r="AR255" s="87"/>
      <c r="AS255" s="87"/>
      <c r="AT255" s="87"/>
      <c r="AU255" s="87"/>
      <c r="AV255" s="87"/>
      <c r="AW255" s="87"/>
    </row>
    <row r="256" spans="1:49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  <c r="AL256" s="87"/>
      <c r="AM256" s="87"/>
      <c r="AN256" s="87"/>
      <c r="AO256" s="87"/>
      <c r="AP256" s="87"/>
      <c r="AQ256" s="87"/>
      <c r="AR256" s="87"/>
      <c r="AS256" s="87"/>
      <c r="AT256" s="87"/>
      <c r="AU256" s="87"/>
      <c r="AV256" s="87"/>
      <c r="AW256" s="87"/>
    </row>
    <row r="257" spans="1:49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  <c r="AL257" s="87"/>
      <c r="AM257" s="87"/>
      <c r="AN257" s="87"/>
      <c r="AO257" s="87"/>
      <c r="AP257" s="87"/>
      <c r="AQ257" s="87"/>
      <c r="AR257" s="87"/>
      <c r="AS257" s="87"/>
      <c r="AT257" s="87"/>
      <c r="AU257" s="87"/>
      <c r="AV257" s="87"/>
      <c r="AW257" s="87"/>
    </row>
    <row r="258" spans="1:49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  <c r="AL258" s="87"/>
      <c r="AM258" s="87"/>
      <c r="AN258" s="87"/>
      <c r="AO258" s="87"/>
      <c r="AP258" s="87"/>
      <c r="AQ258" s="87"/>
      <c r="AR258" s="87"/>
      <c r="AS258" s="87"/>
      <c r="AT258" s="87"/>
      <c r="AU258" s="87"/>
      <c r="AV258" s="87"/>
      <c r="AW258" s="87"/>
    </row>
    <row r="259" spans="1:49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  <c r="AL259" s="87"/>
      <c r="AM259" s="87"/>
      <c r="AN259" s="87"/>
      <c r="AO259" s="87"/>
      <c r="AP259" s="87"/>
      <c r="AQ259" s="87"/>
      <c r="AR259" s="87"/>
      <c r="AS259" s="87"/>
      <c r="AT259" s="87"/>
      <c r="AU259" s="87"/>
      <c r="AV259" s="87"/>
      <c r="AW259" s="87"/>
    </row>
    <row r="260" spans="1:49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  <c r="AL260" s="87"/>
      <c r="AM260" s="87"/>
      <c r="AN260" s="87"/>
      <c r="AO260" s="87"/>
      <c r="AP260" s="87"/>
      <c r="AQ260" s="87"/>
      <c r="AR260" s="87"/>
      <c r="AS260" s="87"/>
      <c r="AT260" s="87"/>
      <c r="AU260" s="87"/>
      <c r="AV260" s="87"/>
      <c r="AW260" s="87"/>
    </row>
    <row r="261" spans="1:49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  <c r="AL261" s="87"/>
      <c r="AM261" s="87"/>
      <c r="AN261" s="87"/>
      <c r="AO261" s="87"/>
      <c r="AP261" s="87"/>
      <c r="AQ261" s="87"/>
      <c r="AR261" s="87"/>
      <c r="AS261" s="87"/>
      <c r="AT261" s="87"/>
      <c r="AU261" s="87"/>
      <c r="AV261" s="87"/>
      <c r="AW261" s="87"/>
    </row>
    <row r="262" spans="1:49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  <c r="AM262" s="87"/>
      <c r="AN262" s="87"/>
      <c r="AO262" s="87"/>
      <c r="AP262" s="87"/>
      <c r="AQ262" s="87"/>
      <c r="AR262" s="87"/>
      <c r="AS262" s="87"/>
      <c r="AT262" s="87"/>
      <c r="AU262" s="87"/>
      <c r="AV262" s="87"/>
      <c r="AW262" s="87"/>
    </row>
    <row r="263" spans="1:49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  <c r="AM263" s="87"/>
      <c r="AN263" s="87"/>
      <c r="AO263" s="87"/>
      <c r="AP263" s="87"/>
      <c r="AQ263" s="87"/>
      <c r="AR263" s="87"/>
      <c r="AS263" s="87"/>
      <c r="AT263" s="87"/>
      <c r="AU263" s="87"/>
      <c r="AV263" s="87"/>
      <c r="AW263" s="87"/>
    </row>
    <row r="264" spans="1:49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  <c r="AM264" s="87"/>
      <c r="AN264" s="87"/>
      <c r="AO264" s="87"/>
      <c r="AP264" s="87"/>
      <c r="AQ264" s="87"/>
      <c r="AR264" s="87"/>
      <c r="AS264" s="87"/>
      <c r="AT264" s="87"/>
      <c r="AU264" s="87"/>
      <c r="AV264" s="87"/>
      <c r="AW264" s="87"/>
    </row>
    <row r="265" spans="1:49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  <c r="AM265" s="87"/>
      <c r="AN265" s="87"/>
      <c r="AO265" s="87"/>
      <c r="AP265" s="87"/>
      <c r="AQ265" s="87"/>
      <c r="AR265" s="87"/>
      <c r="AS265" s="87"/>
      <c r="AT265" s="87"/>
      <c r="AU265" s="87"/>
      <c r="AV265" s="87"/>
      <c r="AW265" s="87"/>
    </row>
    <row r="266" spans="1:49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  <c r="AM266" s="87"/>
      <c r="AN266" s="87"/>
      <c r="AO266" s="87"/>
      <c r="AP266" s="87"/>
      <c r="AQ266" s="87"/>
      <c r="AR266" s="87"/>
      <c r="AS266" s="87"/>
      <c r="AT266" s="87"/>
      <c r="AU266" s="87"/>
      <c r="AV266" s="87"/>
      <c r="AW266" s="87"/>
    </row>
    <row r="267" spans="1:49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  <c r="AM267" s="87"/>
      <c r="AN267" s="87"/>
      <c r="AO267" s="87"/>
      <c r="AP267" s="87"/>
      <c r="AQ267" s="87"/>
      <c r="AR267" s="87"/>
      <c r="AS267" s="87"/>
      <c r="AT267" s="87"/>
      <c r="AU267" s="87"/>
      <c r="AV267" s="87"/>
      <c r="AW267" s="87"/>
    </row>
    <row r="268" spans="1:49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  <c r="AM268" s="87"/>
      <c r="AN268" s="87"/>
      <c r="AO268" s="87"/>
      <c r="AP268" s="87"/>
      <c r="AQ268" s="87"/>
      <c r="AR268" s="87"/>
      <c r="AS268" s="87"/>
      <c r="AT268" s="87"/>
      <c r="AU268" s="87"/>
      <c r="AV268" s="87"/>
      <c r="AW268" s="87"/>
    </row>
    <row r="269" spans="1:49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  <c r="AM269" s="87"/>
      <c r="AN269" s="87"/>
      <c r="AO269" s="87"/>
      <c r="AP269" s="87"/>
      <c r="AQ269" s="87"/>
      <c r="AR269" s="87"/>
      <c r="AS269" s="87"/>
      <c r="AT269" s="87"/>
      <c r="AU269" s="87"/>
      <c r="AV269" s="87"/>
      <c r="AW269" s="87"/>
    </row>
    <row r="270" spans="1:49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  <c r="AL270" s="87"/>
      <c r="AM270" s="87"/>
      <c r="AN270" s="87"/>
      <c r="AO270" s="87"/>
      <c r="AP270" s="87"/>
      <c r="AQ270" s="87"/>
      <c r="AR270" s="87"/>
      <c r="AS270" s="87"/>
      <c r="AT270" s="87"/>
      <c r="AU270" s="87"/>
      <c r="AV270" s="87"/>
      <c r="AW270" s="87"/>
    </row>
    <row r="271" spans="1:49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  <c r="AL271" s="87"/>
      <c r="AM271" s="87"/>
      <c r="AN271" s="87"/>
      <c r="AO271" s="87"/>
      <c r="AP271" s="87"/>
      <c r="AQ271" s="87"/>
      <c r="AR271" s="87"/>
      <c r="AS271" s="87"/>
      <c r="AT271" s="87"/>
      <c r="AU271" s="87"/>
      <c r="AV271" s="87"/>
      <c r="AW271" s="87"/>
    </row>
    <row r="272" spans="1:49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  <c r="AL272" s="87"/>
      <c r="AM272" s="87"/>
      <c r="AN272" s="87"/>
      <c r="AO272" s="87"/>
      <c r="AP272" s="87"/>
      <c r="AQ272" s="87"/>
      <c r="AR272" s="87"/>
      <c r="AS272" s="87"/>
      <c r="AT272" s="87"/>
      <c r="AU272" s="87"/>
      <c r="AV272" s="87"/>
      <c r="AW272" s="87"/>
    </row>
    <row r="273" spans="1:49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</row>
    <row r="274" spans="1:49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  <c r="AL274" s="87"/>
      <c r="AM274" s="87"/>
      <c r="AN274" s="87"/>
      <c r="AO274" s="87"/>
      <c r="AP274" s="87"/>
      <c r="AQ274" s="87"/>
      <c r="AR274" s="87"/>
      <c r="AS274" s="87"/>
      <c r="AT274" s="87"/>
      <c r="AU274" s="87"/>
      <c r="AV274" s="87"/>
      <c r="AW274" s="87"/>
    </row>
    <row r="275" spans="1:49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  <c r="AM275" s="87"/>
      <c r="AN275" s="87"/>
      <c r="AO275" s="87"/>
      <c r="AP275" s="87"/>
      <c r="AQ275" s="87"/>
      <c r="AR275" s="87"/>
      <c r="AS275" s="87"/>
      <c r="AT275" s="87"/>
      <c r="AU275" s="87"/>
      <c r="AV275" s="87"/>
      <c r="AW275" s="87"/>
    </row>
    <row r="276" spans="1:49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  <c r="AL276" s="87"/>
      <c r="AM276" s="87"/>
      <c r="AN276" s="87"/>
      <c r="AO276" s="87"/>
      <c r="AP276" s="87"/>
      <c r="AQ276" s="87"/>
      <c r="AR276" s="87"/>
      <c r="AS276" s="87"/>
      <c r="AT276" s="87"/>
      <c r="AU276" s="87"/>
      <c r="AV276" s="87"/>
      <c r="AW276" s="87"/>
    </row>
    <row r="277" spans="1:49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  <c r="AL277" s="87"/>
      <c r="AM277" s="87"/>
      <c r="AN277" s="87"/>
      <c r="AO277" s="87"/>
      <c r="AP277" s="87"/>
      <c r="AQ277" s="87"/>
      <c r="AR277" s="87"/>
      <c r="AS277" s="87"/>
      <c r="AT277" s="87"/>
      <c r="AU277" s="87"/>
      <c r="AV277" s="87"/>
      <c r="AW277" s="87"/>
    </row>
    <row r="278" spans="1:49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  <c r="AL278" s="87"/>
      <c r="AM278" s="87"/>
      <c r="AN278" s="87"/>
      <c r="AO278" s="87"/>
      <c r="AP278" s="87"/>
      <c r="AQ278" s="87"/>
      <c r="AR278" s="87"/>
      <c r="AS278" s="87"/>
      <c r="AT278" s="87"/>
      <c r="AU278" s="87"/>
      <c r="AV278" s="87"/>
      <c r="AW278" s="87"/>
    </row>
    <row r="279" spans="1:49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  <c r="AL279" s="87"/>
      <c r="AM279" s="87"/>
      <c r="AN279" s="87"/>
      <c r="AO279" s="87"/>
      <c r="AP279" s="87"/>
      <c r="AQ279" s="87"/>
      <c r="AR279" s="87"/>
      <c r="AS279" s="87"/>
      <c r="AT279" s="87"/>
      <c r="AU279" s="87"/>
      <c r="AV279" s="87"/>
      <c r="AW279" s="87"/>
    </row>
    <row r="280" spans="1:49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  <c r="AM280" s="87"/>
      <c r="AN280" s="87"/>
      <c r="AO280" s="87"/>
      <c r="AP280" s="87"/>
      <c r="AQ280" s="87"/>
      <c r="AR280" s="87"/>
      <c r="AS280" s="87"/>
      <c r="AT280" s="87"/>
      <c r="AU280" s="87"/>
      <c r="AV280" s="87"/>
      <c r="AW280" s="87"/>
    </row>
    <row r="281" spans="1:49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  <c r="AM281" s="87"/>
      <c r="AN281" s="87"/>
      <c r="AO281" s="87"/>
      <c r="AP281" s="87"/>
      <c r="AQ281" s="87"/>
      <c r="AR281" s="87"/>
      <c r="AS281" s="87"/>
      <c r="AT281" s="87"/>
      <c r="AU281" s="87"/>
      <c r="AV281" s="87"/>
      <c r="AW281" s="87"/>
    </row>
    <row r="282" spans="1:49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  <c r="AM282" s="87"/>
      <c r="AN282" s="87"/>
      <c r="AO282" s="87"/>
      <c r="AP282" s="87"/>
      <c r="AQ282" s="87"/>
      <c r="AR282" s="87"/>
      <c r="AS282" s="87"/>
      <c r="AT282" s="87"/>
      <c r="AU282" s="87"/>
      <c r="AV282" s="87"/>
      <c r="AW282" s="87"/>
    </row>
    <row r="283" spans="1:49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  <c r="AM283" s="87"/>
      <c r="AN283" s="87"/>
      <c r="AO283" s="87"/>
      <c r="AP283" s="87"/>
      <c r="AQ283" s="87"/>
      <c r="AR283" s="87"/>
      <c r="AS283" s="87"/>
      <c r="AT283" s="87"/>
      <c r="AU283" s="87"/>
      <c r="AV283" s="87"/>
      <c r="AW283" s="87"/>
    </row>
    <row r="284" spans="1:49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  <c r="AL284" s="87"/>
      <c r="AM284" s="87"/>
      <c r="AN284" s="87"/>
      <c r="AO284" s="87"/>
      <c r="AP284" s="87"/>
      <c r="AQ284" s="87"/>
      <c r="AR284" s="87"/>
      <c r="AS284" s="87"/>
      <c r="AT284" s="87"/>
      <c r="AU284" s="87"/>
      <c r="AV284" s="87"/>
      <c r="AW284" s="87"/>
    </row>
    <row r="285" spans="1:49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  <c r="AL285" s="87"/>
      <c r="AM285" s="87"/>
      <c r="AN285" s="87"/>
      <c r="AO285" s="87"/>
      <c r="AP285" s="87"/>
      <c r="AQ285" s="87"/>
      <c r="AR285" s="87"/>
      <c r="AS285" s="87"/>
      <c r="AT285" s="87"/>
      <c r="AU285" s="87"/>
      <c r="AV285" s="87"/>
      <c r="AW285" s="87"/>
    </row>
    <row r="286" spans="1:49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  <c r="AL286" s="87"/>
      <c r="AM286" s="87"/>
      <c r="AN286" s="87"/>
      <c r="AO286" s="87"/>
      <c r="AP286" s="87"/>
      <c r="AQ286" s="87"/>
      <c r="AR286" s="87"/>
      <c r="AS286" s="87"/>
      <c r="AT286" s="87"/>
      <c r="AU286" s="87"/>
      <c r="AV286" s="87"/>
      <c r="AW286" s="87"/>
    </row>
    <row r="287" spans="1:49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  <c r="AL287" s="87"/>
      <c r="AM287" s="87"/>
      <c r="AN287" s="87"/>
      <c r="AO287" s="87"/>
      <c r="AP287" s="87"/>
      <c r="AQ287" s="87"/>
      <c r="AR287" s="87"/>
      <c r="AS287" s="87"/>
      <c r="AT287" s="87"/>
      <c r="AU287" s="87"/>
      <c r="AV287" s="87"/>
      <c r="AW287" s="87"/>
    </row>
    <row r="288" spans="1:49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  <c r="AL288" s="87"/>
      <c r="AM288" s="87"/>
      <c r="AN288" s="87"/>
      <c r="AO288" s="87"/>
      <c r="AP288" s="87"/>
      <c r="AQ288" s="87"/>
      <c r="AR288" s="87"/>
      <c r="AS288" s="87"/>
      <c r="AT288" s="87"/>
      <c r="AU288" s="87"/>
      <c r="AV288" s="87"/>
      <c r="AW288" s="87"/>
    </row>
    <row r="289" spans="1:49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  <c r="AL289" s="87"/>
      <c r="AM289" s="87"/>
      <c r="AN289" s="87"/>
      <c r="AO289" s="87"/>
      <c r="AP289" s="87"/>
      <c r="AQ289" s="87"/>
      <c r="AR289" s="87"/>
      <c r="AS289" s="87"/>
      <c r="AT289" s="87"/>
      <c r="AU289" s="87"/>
      <c r="AV289" s="87"/>
      <c r="AW289" s="87"/>
    </row>
  </sheetData>
  <sheetProtection algorithmName="SHA-512" hashValue="2QPQ11le1SYoufaGkQvNhU0l9b+wTD2oxL72FpN2jtMCh90xdITG/zK0qn9saFwsf43zgyUqyHm82FnzAtO4sA==" saltValue="PaOnOuCKpUHgpZNFXK8Ikw==" spinCount="100000" sheet="1" objects="1" scenarios="1"/>
  <protectedRanges>
    <protectedRange password="E509" sqref="H3:H4 H6:H7" name="Plage1_2"/>
    <protectedRange password="E509" sqref="H5" name="Plage1_3"/>
    <protectedRange password="E509" sqref="D10 A9:C10 N11 E9:E10 G10:P10 R10:V10" name="Plage1"/>
    <protectedRange password="E509" sqref="D54:D57 E53:E57 T54:T57 C53:C57 D52 A52:B57 U52:X57 O52:Q52 O53:S57 F52:H57 I54:K57 L52:N57" name="Plage1_1"/>
    <protectedRange password="E509" sqref="M3:P4 O5:P5 K3:K7 N6:O7" name="Plage1_1_2"/>
  </protectedRanges>
  <mergeCells count="119">
    <mergeCell ref="A49:G50"/>
    <mergeCell ref="H49:J50"/>
    <mergeCell ref="K49:K50"/>
    <mergeCell ref="O49:P49"/>
    <mergeCell ref="O50:P50"/>
    <mergeCell ref="I46:J46"/>
    <mergeCell ref="M46:N46"/>
    <mergeCell ref="A47:G47"/>
    <mergeCell ref="I47:J47"/>
    <mergeCell ref="M47:N47"/>
    <mergeCell ref="A48:G48"/>
    <mergeCell ref="H48:K48"/>
    <mergeCell ref="M48:P48"/>
    <mergeCell ref="I43:J43"/>
    <mergeCell ref="M43:N43"/>
    <mergeCell ref="I44:J44"/>
    <mergeCell ref="M44:N44"/>
    <mergeCell ref="I45:J45"/>
    <mergeCell ref="M45:N45"/>
    <mergeCell ref="A40:G40"/>
    <mergeCell ref="M40:N40"/>
    <mergeCell ref="I41:J41"/>
    <mergeCell ref="M41:N41"/>
    <mergeCell ref="I42:J42"/>
    <mergeCell ref="M42:N42"/>
    <mergeCell ref="A38:G38"/>
    <mergeCell ref="I38:J38"/>
    <mergeCell ref="M38:N38"/>
    <mergeCell ref="A39:G39"/>
    <mergeCell ref="I39:J39"/>
    <mergeCell ref="M39:N39"/>
    <mergeCell ref="A36:G36"/>
    <mergeCell ref="I36:J36"/>
    <mergeCell ref="M36:N36"/>
    <mergeCell ref="A37:G37"/>
    <mergeCell ref="I37:J37"/>
    <mergeCell ref="M37:N37"/>
    <mergeCell ref="A34:G34"/>
    <mergeCell ref="I34:J34"/>
    <mergeCell ref="M34:N34"/>
    <mergeCell ref="A35:G35"/>
    <mergeCell ref="I35:J35"/>
    <mergeCell ref="M35:N35"/>
    <mergeCell ref="A32:G32"/>
    <mergeCell ref="I32:J32"/>
    <mergeCell ref="M32:N32"/>
    <mergeCell ref="A33:G33"/>
    <mergeCell ref="I33:J33"/>
    <mergeCell ref="M33:N33"/>
    <mergeCell ref="A30:G30"/>
    <mergeCell ref="I30:J30"/>
    <mergeCell ref="M30:N30"/>
    <mergeCell ref="A31:G31"/>
    <mergeCell ref="I31:J31"/>
    <mergeCell ref="M31:N31"/>
    <mergeCell ref="A28:G28"/>
    <mergeCell ref="I28:J28"/>
    <mergeCell ref="M28:N28"/>
    <mergeCell ref="A29:G29"/>
    <mergeCell ref="I29:J29"/>
    <mergeCell ref="M29:N29"/>
    <mergeCell ref="A26:G26"/>
    <mergeCell ref="I26:J26"/>
    <mergeCell ref="M26:N26"/>
    <mergeCell ref="A27:G27"/>
    <mergeCell ref="I27:J27"/>
    <mergeCell ref="M27:N27"/>
    <mergeCell ref="A24:G24"/>
    <mergeCell ref="I24:J24"/>
    <mergeCell ref="M24:N24"/>
    <mergeCell ref="A25:G25"/>
    <mergeCell ref="I25:J25"/>
    <mergeCell ref="M25:N25"/>
    <mergeCell ref="A22:G22"/>
    <mergeCell ref="I22:J22"/>
    <mergeCell ref="M22:N22"/>
    <mergeCell ref="A23:G23"/>
    <mergeCell ref="I23:J23"/>
    <mergeCell ref="M23:N23"/>
    <mergeCell ref="A20:G20"/>
    <mergeCell ref="I20:J20"/>
    <mergeCell ref="M20:N20"/>
    <mergeCell ref="A21:G21"/>
    <mergeCell ref="I21:J21"/>
    <mergeCell ref="M21:N21"/>
    <mergeCell ref="A18:G18"/>
    <mergeCell ref="I18:J18"/>
    <mergeCell ref="M18:N18"/>
    <mergeCell ref="A19:G19"/>
    <mergeCell ref="I19:J19"/>
    <mergeCell ref="M19:N19"/>
    <mergeCell ref="A16:G16"/>
    <mergeCell ref="I16:J16"/>
    <mergeCell ref="M16:N16"/>
    <mergeCell ref="A17:G17"/>
    <mergeCell ref="I17:J17"/>
    <mergeCell ref="M17:N17"/>
    <mergeCell ref="A15:G15"/>
    <mergeCell ref="I15:J15"/>
    <mergeCell ref="M15:N15"/>
    <mergeCell ref="H6:J6"/>
    <mergeCell ref="H7:J7"/>
    <mergeCell ref="E10:M10"/>
    <mergeCell ref="E11:M11"/>
    <mergeCell ref="I13:L13"/>
    <mergeCell ref="M13:P13"/>
    <mergeCell ref="K6:Q6"/>
    <mergeCell ref="K7:Q7"/>
    <mergeCell ref="H3:J3"/>
    <mergeCell ref="H4:J4"/>
    <mergeCell ref="H5:J5"/>
    <mergeCell ref="K5:L5"/>
    <mergeCell ref="M5:N5"/>
    <mergeCell ref="A14:G14"/>
    <mergeCell ref="I14:J14"/>
    <mergeCell ref="M14:N14"/>
    <mergeCell ref="K3:Q3"/>
    <mergeCell ref="K4:Q4"/>
    <mergeCell ref="O5:Q5"/>
  </mergeCells>
  <printOptions horizontalCentered="1" verticalCentered="1"/>
  <pageMargins left="0" right="0" top="0.15748031496062992" bottom="0" header="0" footer="0"/>
  <pageSetup paperSize="9" scale="9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7BAF-3B2A-4327-B3A7-B778DC4AB166}">
  <sheetPr codeName="Feuil11"/>
  <dimension ref="A1:DP72"/>
  <sheetViews>
    <sheetView showGridLines="0" showRowColHeaders="0" topLeftCell="A11" zoomScale="85" zoomScaleNormal="85" workbookViewId="0">
      <selection activeCell="D5" sqref="D5"/>
    </sheetView>
  </sheetViews>
  <sheetFormatPr baseColWidth="10" defaultColWidth="11.453125" defaultRowHeight="14.5"/>
  <cols>
    <col min="1" max="3" width="4.1796875" style="87" customWidth="1"/>
    <col min="4" max="5" width="4.7265625" style="87" customWidth="1"/>
    <col min="6" max="7" width="5.453125" style="87" customWidth="1"/>
    <col min="8" max="9" width="4.7265625" style="87" customWidth="1"/>
    <col min="10" max="11" width="5.453125" style="87" customWidth="1"/>
    <col min="12" max="14" width="4.1796875" style="87" customWidth="1"/>
    <col min="15" max="16" width="4.7265625" style="87" customWidth="1"/>
    <col min="17" max="18" width="5.453125" style="87" customWidth="1"/>
    <col min="19" max="20" width="4.7265625" style="87" customWidth="1"/>
    <col min="21" max="22" width="5.453125" style="87" customWidth="1"/>
    <col min="23" max="23" width="2.7265625" style="87" customWidth="1"/>
    <col min="24" max="62" width="4.453125" style="87" customWidth="1"/>
    <col min="63" max="16384" width="11.453125" style="87"/>
  </cols>
  <sheetData>
    <row r="1" spans="1:26">
      <c r="Z1" s="132"/>
    </row>
    <row r="2" spans="1:26">
      <c r="P2" s="1040"/>
      <c r="Q2" s="1040"/>
      <c r="R2" s="1040"/>
      <c r="S2" s="1040"/>
      <c r="T2" s="1041"/>
      <c r="U2" s="1042"/>
      <c r="V2" s="1042"/>
      <c r="W2" s="1043"/>
    </row>
    <row r="4" spans="1:26" ht="13.5" customHeight="1">
      <c r="K4" s="976" t="s">
        <v>262</v>
      </c>
      <c r="L4" s="977"/>
      <c r="M4" s="977"/>
      <c r="N4" s="978"/>
      <c r="O4" s="1044" t="str">
        <f>Data!F6</f>
        <v>SUURHUSEN</v>
      </c>
      <c r="P4" s="1044"/>
      <c r="Q4" s="1044"/>
      <c r="R4" s="1044"/>
      <c r="S4" s="1044"/>
      <c r="T4" s="1044"/>
      <c r="U4" s="1044"/>
      <c r="V4" s="1045"/>
    </row>
    <row r="5" spans="1:26" ht="13.5" customHeight="1">
      <c r="K5" s="979" t="s">
        <v>36</v>
      </c>
      <c r="L5" s="1046"/>
      <c r="M5" s="1046"/>
      <c r="N5" s="1047"/>
      <c r="O5" s="1048" t="str">
        <f>Data!F8</f>
        <v>ST SC</v>
      </c>
      <c r="P5" s="1049"/>
      <c r="Q5" s="1049"/>
      <c r="R5" s="1049"/>
      <c r="S5" s="1049"/>
      <c r="T5" s="1049"/>
      <c r="U5" s="1049"/>
      <c r="V5" s="1050"/>
    </row>
    <row r="6" spans="1:26" ht="13.5" customHeight="1">
      <c r="K6" s="979" t="s">
        <v>114</v>
      </c>
      <c r="L6" s="1046"/>
      <c r="M6" s="1046"/>
      <c r="N6" s="1047"/>
      <c r="O6" s="1051">
        <f>Data!F16</f>
        <v>3098.2950000000001</v>
      </c>
      <c r="P6" s="1049"/>
      <c r="Q6" s="1049"/>
      <c r="R6" s="896" t="str">
        <f>IF(O6="","","MT  Dated")</f>
        <v>MT  Dated</v>
      </c>
      <c r="S6" s="896"/>
      <c r="T6" s="1052">
        <f>Data!F18</f>
        <v>44709</v>
      </c>
      <c r="U6" s="1052"/>
      <c r="V6" s="1053"/>
    </row>
    <row r="7" spans="1:26" ht="13.5" customHeight="1">
      <c r="G7" s="1054"/>
      <c r="J7" s="4"/>
      <c r="K7" s="979" t="s">
        <v>39</v>
      </c>
      <c r="L7" s="1046"/>
      <c r="M7" s="1046"/>
      <c r="N7" s="1047"/>
      <c r="O7" s="1048" t="str">
        <f>Data!F12</f>
        <v xml:space="preserve">MIDDLESBROUGH </v>
      </c>
      <c r="P7" s="1049"/>
      <c r="Q7" s="1049"/>
      <c r="R7" s="1049"/>
      <c r="S7" s="1049"/>
      <c r="T7" s="1049"/>
      <c r="U7" s="1049"/>
      <c r="V7" s="1050"/>
    </row>
    <row r="8" spans="1:26" ht="13.5" customHeight="1">
      <c r="G8" s="1054"/>
      <c r="J8" s="4"/>
      <c r="K8" s="992" t="s">
        <v>203</v>
      </c>
      <c r="L8" s="1055"/>
      <c r="M8" s="1055"/>
      <c r="N8" s="1056"/>
      <c r="O8" s="1057" t="str">
        <f>Data!F10</f>
        <v>SAFI</v>
      </c>
      <c r="P8" s="1058"/>
      <c r="Q8" s="1058"/>
      <c r="R8" s="1058"/>
      <c r="S8" s="1058"/>
      <c r="T8" s="1058"/>
      <c r="U8" s="1058"/>
      <c r="V8" s="1059"/>
    </row>
    <row r="9" spans="1:26" ht="12" customHeight="1">
      <c r="G9" s="1054"/>
      <c r="J9" s="4"/>
      <c r="K9" s="4"/>
      <c r="L9" s="4"/>
    </row>
    <row r="10" spans="1:26" ht="19.5" customHeight="1">
      <c r="H10" s="1060" t="s">
        <v>147</v>
      </c>
      <c r="I10" s="1060"/>
      <c r="J10" s="1060"/>
      <c r="K10" s="1060"/>
      <c r="L10" s="1060"/>
      <c r="M10" s="1060"/>
      <c r="N10" s="1060"/>
      <c r="O10" s="1060"/>
      <c r="P10" s="1060"/>
      <c r="V10" s="1061" t="s">
        <v>181</v>
      </c>
    </row>
    <row r="11" spans="1:26" ht="17.25" customHeight="1">
      <c r="A11" s="1062"/>
      <c r="H11" s="1063" t="s">
        <v>182</v>
      </c>
      <c r="I11" s="1063"/>
      <c r="J11" s="1063"/>
      <c r="K11" s="1063"/>
      <c r="L11" s="1063"/>
      <c r="M11" s="1063"/>
      <c r="N11" s="1063"/>
      <c r="O11" s="1063"/>
      <c r="P11" s="1063"/>
    </row>
    <row r="12" spans="1:26" ht="8.25" customHeight="1" thickBot="1">
      <c r="B12" s="1064"/>
    </row>
    <row r="13" spans="1:26" ht="18.75" customHeight="1" thickBot="1">
      <c r="A13" s="1065" t="s">
        <v>183</v>
      </c>
      <c r="B13" s="1066"/>
      <c r="C13" s="1066"/>
      <c r="D13" s="1066"/>
      <c r="E13" s="1066"/>
      <c r="F13" s="1066"/>
      <c r="G13" s="1066"/>
      <c r="H13" s="1066"/>
      <c r="I13" s="1066"/>
      <c r="J13" s="1066"/>
      <c r="K13" s="1067"/>
      <c r="L13" s="1068" t="s">
        <v>184</v>
      </c>
      <c r="M13" s="1066"/>
      <c r="N13" s="1066"/>
      <c r="O13" s="1066"/>
      <c r="P13" s="1066"/>
      <c r="Q13" s="1066"/>
      <c r="R13" s="1066"/>
      <c r="S13" s="1066"/>
      <c r="T13" s="1066"/>
      <c r="U13" s="1066"/>
      <c r="V13" s="1069"/>
    </row>
    <row r="14" spans="1:26" ht="17.25" customHeight="1" thickBot="1">
      <c r="A14" s="1070" t="s">
        <v>185</v>
      </c>
      <c r="B14" s="437"/>
      <c r="C14" s="437"/>
      <c r="D14" s="437"/>
      <c r="E14" s="437"/>
      <c r="F14" s="1071"/>
      <c r="G14" s="1071"/>
      <c r="H14" s="1071"/>
      <c r="I14" s="1071"/>
      <c r="J14" s="1071"/>
      <c r="K14" s="1071"/>
      <c r="L14" s="1071"/>
      <c r="M14" s="1071"/>
      <c r="N14" s="1071"/>
      <c r="O14" s="1071"/>
      <c r="P14" s="1071"/>
      <c r="Q14" s="1071"/>
      <c r="R14" s="1071"/>
      <c r="S14" s="1071"/>
      <c r="T14" s="1071"/>
      <c r="U14" s="1071"/>
      <c r="V14" s="1071"/>
    </row>
    <row r="15" spans="1:26" ht="28.5" customHeight="1">
      <c r="A15" s="1072" t="s">
        <v>13</v>
      </c>
      <c r="B15" s="1073"/>
      <c r="C15" s="1074"/>
      <c r="D15" s="1075" t="s">
        <v>186</v>
      </c>
      <c r="E15" s="1075"/>
      <c r="F15" s="1076" t="s">
        <v>187</v>
      </c>
      <c r="G15" s="1076"/>
      <c r="H15" s="1077" t="s">
        <v>188</v>
      </c>
      <c r="I15" s="1077"/>
      <c r="J15" s="1078" t="s">
        <v>189</v>
      </c>
      <c r="K15" s="1079"/>
      <c r="L15" s="1080" t="s">
        <v>13</v>
      </c>
      <c r="M15" s="1081"/>
      <c r="N15" s="1082"/>
      <c r="O15" s="1076" t="s">
        <v>186</v>
      </c>
      <c r="P15" s="1076"/>
      <c r="Q15" s="1077" t="s">
        <v>187</v>
      </c>
      <c r="R15" s="1077"/>
      <c r="S15" s="1077" t="s">
        <v>188</v>
      </c>
      <c r="T15" s="1077"/>
      <c r="U15" s="1083" t="s">
        <v>190</v>
      </c>
      <c r="V15" s="1084"/>
    </row>
    <row r="16" spans="1:26">
      <c r="A16" s="1085" t="str">
        <f>IF(Data!B94="","",Data!B94)</f>
        <v>FP</v>
      </c>
      <c r="B16" s="1085"/>
      <c r="C16" s="1086"/>
      <c r="D16" s="1087" t="str">
        <f>IF(Data!D94="","",Data!D94)</f>
        <v>FULL</v>
      </c>
      <c r="E16" s="1088"/>
      <c r="F16" s="1089">
        <f>IF(Data!F94="","",Data!F94)</f>
        <v>123</v>
      </c>
      <c r="G16" s="1090"/>
      <c r="H16" s="1091">
        <f>IF(Data!H94="","",Data!H94)</f>
        <v>1.0249999999999999</v>
      </c>
      <c r="I16" s="1092"/>
      <c r="J16" s="1093">
        <f>IF(F16="","",IF(H16="",0,+ROUND(F16*H16,3)))</f>
        <v>126.075</v>
      </c>
      <c r="K16" s="1093"/>
      <c r="L16" s="1085" t="str">
        <f>IF(A16="","",A16)</f>
        <v>FP</v>
      </c>
      <c r="M16" s="1085"/>
      <c r="N16" s="1085"/>
      <c r="O16" s="1094" t="str">
        <f>IF(Data!L94="","",Data!L94)</f>
        <v/>
      </c>
      <c r="P16" s="1094"/>
      <c r="Q16" s="1095" t="str">
        <f>IF(Data!N94="","",Data!N94)</f>
        <v/>
      </c>
      <c r="R16" s="1095"/>
      <c r="S16" s="1096" t="str">
        <f>IF(Data!P94="","",Data!P94)</f>
        <v/>
      </c>
      <c r="T16" s="1096"/>
      <c r="U16" s="1093" t="str">
        <f>IF(Q16="","",IF(S16="",0,+ROUND(Q16*S16,3)))</f>
        <v/>
      </c>
      <c r="V16" s="1093"/>
    </row>
    <row r="17" spans="1:22">
      <c r="A17" s="1097" t="str">
        <f>IF(Data!B95="","",Data!B95)</f>
        <v>DB1P</v>
      </c>
      <c r="B17" s="1097"/>
      <c r="C17" s="1097"/>
      <c r="D17" s="1098" t="str">
        <f>IF(Data!D95="","",Data!D95)</f>
        <v>FULL</v>
      </c>
      <c r="E17" s="1099"/>
      <c r="F17" s="1098">
        <f>IF(Data!F95="","",Data!F95)</f>
        <v>129</v>
      </c>
      <c r="G17" s="1099"/>
      <c r="H17" s="1096">
        <f>IF(Data!H95="","",Data!H95)</f>
        <v>1.0249999999999999</v>
      </c>
      <c r="I17" s="1100"/>
      <c r="J17" s="1101">
        <f>IF(F17="","",IF(H17="",0,+ROUND(F17*H17,3)))</f>
        <v>132.22499999999999</v>
      </c>
      <c r="K17" s="1101"/>
      <c r="L17" s="1102" t="str">
        <f>IF(A17="","",A17)</f>
        <v>DB1P</v>
      </c>
      <c r="M17" s="1102"/>
      <c r="N17" s="1102"/>
      <c r="O17" s="1103" t="str">
        <f>IF(Data!L95="","",Data!L95)</f>
        <v/>
      </c>
      <c r="P17" s="1103"/>
      <c r="Q17" s="1103" t="str">
        <f>IF(Data!N95="","",Data!N95)</f>
        <v/>
      </c>
      <c r="R17" s="1103"/>
      <c r="S17" s="1104" t="str">
        <f>IF(Data!P95="","",Data!P95)</f>
        <v/>
      </c>
      <c r="T17" s="1104"/>
      <c r="U17" s="1105" t="str">
        <f t="shared" ref="U17:U45" si="0">IF(Q17="","",IF(S17="",0,+ROUND(Q17*S17,3)))</f>
        <v/>
      </c>
      <c r="V17" s="1105"/>
    </row>
    <row r="18" spans="1:22">
      <c r="A18" s="1102" t="str">
        <f>IF(Data!B96="","",Data!B96)</f>
        <v>DB1S</v>
      </c>
      <c r="B18" s="1102"/>
      <c r="C18" s="1102"/>
      <c r="D18" s="1098" t="str">
        <f>IF(Data!D96="","",Data!D96)</f>
        <v/>
      </c>
      <c r="E18" s="1099"/>
      <c r="F18" s="1098" t="str">
        <f>IF(Data!F96="","",Data!F96)</f>
        <v/>
      </c>
      <c r="G18" s="1099"/>
      <c r="H18" s="1104" t="str">
        <f>IF(Data!H96="","",Data!H96)</f>
        <v/>
      </c>
      <c r="I18" s="1106"/>
      <c r="J18" s="1105" t="str">
        <f>IF(F18="","",IF(H18="",0,+ROUND(F18*H18,3)))</f>
        <v/>
      </c>
      <c r="K18" s="1105"/>
      <c r="L18" s="1102" t="str">
        <f t="shared" ref="L18:L23" si="1">IF(A18="","",A18)</f>
        <v>DB1S</v>
      </c>
      <c r="M18" s="1102"/>
      <c r="N18" s="1102"/>
      <c r="O18" s="1103" t="str">
        <f>IF(Data!L96="","",Data!L96)</f>
        <v/>
      </c>
      <c r="P18" s="1103"/>
      <c r="Q18" s="1103" t="str">
        <f>IF(Data!N96="","",Data!N96)</f>
        <v/>
      </c>
      <c r="R18" s="1103"/>
      <c r="S18" s="1104" t="str">
        <f>IF(Data!P96="","",Data!P96)</f>
        <v/>
      </c>
      <c r="T18" s="1104"/>
      <c r="U18" s="1105" t="str">
        <f t="shared" si="0"/>
        <v/>
      </c>
      <c r="V18" s="1105"/>
    </row>
    <row r="19" spans="1:22">
      <c r="A19" s="1102" t="str">
        <f>IF(Data!B97="","",Data!B97)</f>
        <v/>
      </c>
      <c r="B19" s="1102"/>
      <c r="C19" s="1102"/>
      <c r="D19" s="1098" t="str">
        <f>IF(Data!D97="","",Data!D97)</f>
        <v/>
      </c>
      <c r="E19" s="1099"/>
      <c r="F19" s="1098" t="str">
        <f>IF(Data!F97="","",Data!F97)</f>
        <v/>
      </c>
      <c r="G19" s="1099"/>
      <c r="H19" s="1104" t="str">
        <f>IF(Data!H97="","",Data!H97)</f>
        <v/>
      </c>
      <c r="I19" s="1106"/>
      <c r="J19" s="1105" t="str">
        <f t="shared" ref="J19:J30" si="2">IF(F19="","",IF(H19="",0,+ROUND(F19*H19,3)))</f>
        <v/>
      </c>
      <c r="K19" s="1105"/>
      <c r="L19" s="1102" t="str">
        <f t="shared" si="1"/>
        <v/>
      </c>
      <c r="M19" s="1102"/>
      <c r="N19" s="1102"/>
      <c r="O19" s="1103" t="str">
        <f>IF(Data!L97="","",Data!L97)</f>
        <v/>
      </c>
      <c r="P19" s="1103"/>
      <c r="Q19" s="1103" t="str">
        <f>IF(Data!N97="","",Data!N97)</f>
        <v/>
      </c>
      <c r="R19" s="1103"/>
      <c r="S19" s="1104" t="str">
        <f>IF(Data!P97="","",Data!P97)</f>
        <v/>
      </c>
      <c r="T19" s="1104"/>
      <c r="U19" s="1105" t="str">
        <f t="shared" si="0"/>
        <v/>
      </c>
      <c r="V19" s="1105"/>
    </row>
    <row r="20" spans="1:22">
      <c r="A20" s="1102" t="str">
        <f>IF(Data!B98="","",Data!B98)</f>
        <v/>
      </c>
      <c r="B20" s="1102"/>
      <c r="C20" s="1102"/>
      <c r="D20" s="1098" t="str">
        <f>IF(Data!D98="","",Data!D98)</f>
        <v/>
      </c>
      <c r="E20" s="1099"/>
      <c r="F20" s="1098" t="str">
        <f>IF(Data!F98="","",Data!F98)</f>
        <v/>
      </c>
      <c r="G20" s="1099"/>
      <c r="H20" s="1104" t="str">
        <f>IF(Data!H98="","",Data!H98)</f>
        <v/>
      </c>
      <c r="I20" s="1106"/>
      <c r="J20" s="1105" t="str">
        <f t="shared" si="2"/>
        <v/>
      </c>
      <c r="K20" s="1105"/>
      <c r="L20" s="1102" t="str">
        <f t="shared" si="1"/>
        <v/>
      </c>
      <c r="M20" s="1102"/>
      <c r="N20" s="1102"/>
      <c r="O20" s="1103" t="str">
        <f>IF(Data!L98="","",Data!L98)</f>
        <v/>
      </c>
      <c r="P20" s="1103"/>
      <c r="Q20" s="1103" t="str">
        <f>IF(Data!N98="","",Data!N98)</f>
        <v/>
      </c>
      <c r="R20" s="1103"/>
      <c r="S20" s="1104" t="str">
        <f>IF(Data!P98="","",Data!P98)</f>
        <v/>
      </c>
      <c r="T20" s="1104"/>
      <c r="U20" s="1105" t="str">
        <f t="shared" si="0"/>
        <v/>
      </c>
      <c r="V20" s="1105"/>
    </row>
    <row r="21" spans="1:22">
      <c r="A21" s="1102" t="str">
        <f>IF(Data!B99="","",Data!B99)</f>
        <v/>
      </c>
      <c r="B21" s="1102"/>
      <c r="C21" s="1102"/>
      <c r="D21" s="1098" t="str">
        <f>IF(Data!D99="","",Data!D98)</f>
        <v/>
      </c>
      <c r="E21" s="1099"/>
      <c r="F21" s="1098" t="str">
        <f>IF(Data!F99="","",Data!F99)</f>
        <v/>
      </c>
      <c r="G21" s="1099"/>
      <c r="H21" s="1104" t="str">
        <f>IF(Data!H99="","",Data!H99)</f>
        <v/>
      </c>
      <c r="I21" s="1106"/>
      <c r="J21" s="1105" t="str">
        <f t="shared" si="2"/>
        <v/>
      </c>
      <c r="K21" s="1105"/>
      <c r="L21" s="1102" t="str">
        <f t="shared" si="1"/>
        <v/>
      </c>
      <c r="M21" s="1102"/>
      <c r="N21" s="1102"/>
      <c r="O21" s="1103" t="str">
        <f>IF(Data!L99="","",Data!L99)</f>
        <v/>
      </c>
      <c r="P21" s="1103"/>
      <c r="Q21" s="1103" t="str">
        <f>IF(Data!N99="","",Data!N99)</f>
        <v/>
      </c>
      <c r="R21" s="1103"/>
      <c r="S21" s="1104" t="str">
        <f>IF(Data!P99="","",Data!P99)</f>
        <v/>
      </c>
      <c r="T21" s="1104"/>
      <c r="U21" s="1105" t="str">
        <f t="shared" si="0"/>
        <v/>
      </c>
      <c r="V21" s="1105"/>
    </row>
    <row r="22" spans="1:22">
      <c r="A22" s="1102" t="str">
        <f>IF(Data!B100="","",Data!B100)</f>
        <v/>
      </c>
      <c r="B22" s="1102"/>
      <c r="C22" s="1102"/>
      <c r="D22" s="1098" t="str">
        <f>IF(Data!D100="","",Data!D100)</f>
        <v/>
      </c>
      <c r="E22" s="1099"/>
      <c r="F22" s="1098" t="str">
        <f>IF(Data!F100="","",Data!F100)</f>
        <v/>
      </c>
      <c r="G22" s="1099"/>
      <c r="H22" s="1104" t="str">
        <f>IF(Data!H100="","",Data!H100)</f>
        <v/>
      </c>
      <c r="I22" s="1106"/>
      <c r="J22" s="1105" t="str">
        <f t="shared" si="2"/>
        <v/>
      </c>
      <c r="K22" s="1105"/>
      <c r="L22" s="1102" t="str">
        <f t="shared" si="1"/>
        <v/>
      </c>
      <c r="M22" s="1102"/>
      <c r="N22" s="1102"/>
      <c r="O22" s="1103" t="str">
        <f>IF(Data!L100="","",Data!L100)</f>
        <v/>
      </c>
      <c r="P22" s="1103"/>
      <c r="Q22" s="1103" t="str">
        <f>IF(Data!N100="","",Data!N100)</f>
        <v/>
      </c>
      <c r="R22" s="1103"/>
      <c r="S22" s="1104" t="str">
        <f>IF(Data!P100="","",Data!P100)</f>
        <v/>
      </c>
      <c r="T22" s="1104"/>
      <c r="U22" s="1105" t="str">
        <f t="shared" si="0"/>
        <v/>
      </c>
      <c r="V22" s="1105"/>
    </row>
    <row r="23" spans="1:22">
      <c r="A23" s="1102" t="str">
        <f>IF(Data!B101="","",Data!B101)</f>
        <v/>
      </c>
      <c r="B23" s="1102"/>
      <c r="C23" s="1102"/>
      <c r="D23" s="1098" t="str">
        <f>IF(Data!D101="","",Data!D101)</f>
        <v/>
      </c>
      <c r="E23" s="1099"/>
      <c r="F23" s="1098" t="str">
        <f>IF(Data!F101="","",Data!F101)</f>
        <v/>
      </c>
      <c r="G23" s="1099"/>
      <c r="H23" s="1104" t="str">
        <f>IF(Data!H101="","",Data!H101)</f>
        <v/>
      </c>
      <c r="I23" s="1106"/>
      <c r="J23" s="1105" t="str">
        <f t="shared" si="2"/>
        <v/>
      </c>
      <c r="K23" s="1105"/>
      <c r="L23" s="1102" t="str">
        <f t="shared" si="1"/>
        <v/>
      </c>
      <c r="M23" s="1102"/>
      <c r="N23" s="1102"/>
      <c r="O23" s="1103" t="str">
        <f>IF(Data!L101="","",Data!L101)</f>
        <v/>
      </c>
      <c r="P23" s="1103"/>
      <c r="Q23" s="1103" t="str">
        <f>IF(Data!N101="","",Data!N101)</f>
        <v/>
      </c>
      <c r="R23" s="1103"/>
      <c r="S23" s="1104" t="str">
        <f>IF(Data!P101="","",Data!P101)</f>
        <v/>
      </c>
      <c r="T23" s="1104"/>
      <c r="U23" s="1105" t="str">
        <f t="shared" si="0"/>
        <v/>
      </c>
      <c r="V23" s="1105"/>
    </row>
    <row r="24" spans="1:22">
      <c r="A24" s="1102" t="str">
        <f>IF(Data!B102="","",Data!B102)</f>
        <v/>
      </c>
      <c r="B24" s="1102"/>
      <c r="C24" s="1102"/>
      <c r="D24" s="1098" t="str">
        <f>IF(Data!D102="","",Data!D102)</f>
        <v/>
      </c>
      <c r="E24" s="1099"/>
      <c r="F24" s="1098" t="str">
        <f>IF(Data!F102="","",Data!F102)</f>
        <v/>
      </c>
      <c r="G24" s="1099"/>
      <c r="H24" s="1104" t="str">
        <f>IF(Data!H102="","",Data!H102)</f>
        <v/>
      </c>
      <c r="I24" s="1106"/>
      <c r="J24" s="1105" t="str">
        <f t="shared" si="2"/>
        <v/>
      </c>
      <c r="K24" s="1105"/>
      <c r="L24" s="1102" t="str">
        <f t="shared" ref="L24:L45" si="3">IF(A24="","",A24)</f>
        <v/>
      </c>
      <c r="M24" s="1102"/>
      <c r="N24" s="1102"/>
      <c r="O24" s="1103" t="str">
        <f>IF(Data!L102="","",Data!L102)</f>
        <v/>
      </c>
      <c r="P24" s="1103"/>
      <c r="Q24" s="1103" t="str">
        <f>IF(Data!N102="","",Data!N102)</f>
        <v/>
      </c>
      <c r="R24" s="1103"/>
      <c r="S24" s="1104" t="str">
        <f>IF(Data!P102="","",Data!P102)</f>
        <v/>
      </c>
      <c r="T24" s="1104"/>
      <c r="U24" s="1105" t="str">
        <f t="shared" si="0"/>
        <v/>
      </c>
      <c r="V24" s="1105"/>
    </row>
    <row r="25" spans="1:22">
      <c r="A25" s="1102" t="str">
        <f>IF(Data!B103="","",Data!B103)</f>
        <v/>
      </c>
      <c r="B25" s="1102"/>
      <c r="C25" s="1102"/>
      <c r="D25" s="1098" t="str">
        <f>IF(Data!D103="","",Data!D103)</f>
        <v/>
      </c>
      <c r="E25" s="1099"/>
      <c r="F25" s="1098" t="str">
        <f>IF(Data!F103="","",Data!F103)</f>
        <v/>
      </c>
      <c r="G25" s="1099"/>
      <c r="H25" s="1104" t="str">
        <f>IF(Data!H103="","",Data!H103)</f>
        <v/>
      </c>
      <c r="I25" s="1106"/>
      <c r="J25" s="1105" t="str">
        <f t="shared" si="2"/>
        <v/>
      </c>
      <c r="K25" s="1105"/>
      <c r="L25" s="1102" t="str">
        <f t="shared" si="3"/>
        <v/>
      </c>
      <c r="M25" s="1102"/>
      <c r="N25" s="1102"/>
      <c r="O25" s="1103" t="str">
        <f>IF(Data!L103="","",Data!L103)</f>
        <v/>
      </c>
      <c r="P25" s="1103"/>
      <c r="Q25" s="1103" t="str">
        <f>IF(Data!N103="","",Data!N103)</f>
        <v/>
      </c>
      <c r="R25" s="1103"/>
      <c r="S25" s="1104" t="str">
        <f>IF(Data!P103="","",Data!P103)</f>
        <v/>
      </c>
      <c r="T25" s="1104"/>
      <c r="U25" s="1105" t="str">
        <f t="shared" si="0"/>
        <v/>
      </c>
      <c r="V25" s="1105"/>
    </row>
    <row r="26" spans="1:22">
      <c r="A26" s="1102" t="str">
        <f>IF(Data!B104="","",Data!B104)</f>
        <v/>
      </c>
      <c r="B26" s="1102"/>
      <c r="C26" s="1102"/>
      <c r="D26" s="1098" t="str">
        <f>IF(Data!D104="","",Data!D104)</f>
        <v/>
      </c>
      <c r="E26" s="1099"/>
      <c r="F26" s="1098" t="str">
        <f>IF(Data!F104="","",Data!F104)</f>
        <v/>
      </c>
      <c r="G26" s="1099"/>
      <c r="H26" s="1104" t="str">
        <f>IF(Data!H104="","",Data!H104)</f>
        <v/>
      </c>
      <c r="I26" s="1106"/>
      <c r="J26" s="1105" t="str">
        <f t="shared" si="2"/>
        <v/>
      </c>
      <c r="K26" s="1105"/>
      <c r="L26" s="1102" t="str">
        <f t="shared" si="3"/>
        <v/>
      </c>
      <c r="M26" s="1102"/>
      <c r="N26" s="1102"/>
      <c r="O26" s="1103" t="str">
        <f>IF(Data!L104="","",Data!L104)</f>
        <v/>
      </c>
      <c r="P26" s="1103"/>
      <c r="Q26" s="1103" t="str">
        <f>IF(Data!N104="","",Data!N104)</f>
        <v/>
      </c>
      <c r="R26" s="1103"/>
      <c r="S26" s="1104" t="str">
        <f>IF(Data!P104="","",Data!P104)</f>
        <v/>
      </c>
      <c r="T26" s="1104"/>
      <c r="U26" s="1105" t="str">
        <f t="shared" si="0"/>
        <v/>
      </c>
      <c r="V26" s="1105"/>
    </row>
    <row r="27" spans="1:22">
      <c r="A27" s="1102" t="str">
        <f>IF(Data!B105="","",Data!B105)</f>
        <v/>
      </c>
      <c r="B27" s="1102"/>
      <c r="C27" s="1102"/>
      <c r="D27" s="1098" t="str">
        <f>IF(Data!D105="","",Data!D105)</f>
        <v/>
      </c>
      <c r="E27" s="1099"/>
      <c r="F27" s="1098" t="str">
        <f>IF(Data!F105="","",Data!F105)</f>
        <v/>
      </c>
      <c r="G27" s="1099"/>
      <c r="H27" s="1104" t="str">
        <f>IF(Data!H105="","",Data!H105)</f>
        <v/>
      </c>
      <c r="I27" s="1106"/>
      <c r="J27" s="1105" t="str">
        <f t="shared" si="2"/>
        <v/>
      </c>
      <c r="K27" s="1105"/>
      <c r="L27" s="1102" t="str">
        <f t="shared" si="3"/>
        <v/>
      </c>
      <c r="M27" s="1102"/>
      <c r="N27" s="1102"/>
      <c r="O27" s="1103" t="str">
        <f>IF(Data!L105="","",Data!L105)</f>
        <v/>
      </c>
      <c r="P27" s="1103"/>
      <c r="Q27" s="1103" t="str">
        <f>IF(Data!N105="","",Data!N105)</f>
        <v/>
      </c>
      <c r="R27" s="1103"/>
      <c r="S27" s="1104" t="str">
        <f>IF(Data!P105="","",Data!P105)</f>
        <v/>
      </c>
      <c r="T27" s="1104"/>
      <c r="U27" s="1105" t="str">
        <f t="shared" si="0"/>
        <v/>
      </c>
      <c r="V27" s="1105"/>
    </row>
    <row r="28" spans="1:22">
      <c r="A28" s="1102" t="str">
        <f>IF(Data!B106="","",Data!B106)</f>
        <v/>
      </c>
      <c r="B28" s="1102"/>
      <c r="C28" s="1102"/>
      <c r="D28" s="1098" t="str">
        <f>IF(Data!D106="","",Data!D106)</f>
        <v/>
      </c>
      <c r="E28" s="1099"/>
      <c r="F28" s="1098" t="str">
        <f>IF(Data!F106="","",Data!F106)</f>
        <v/>
      </c>
      <c r="G28" s="1099"/>
      <c r="H28" s="1104" t="str">
        <f>IF(Data!H106="","",Data!H106)</f>
        <v/>
      </c>
      <c r="I28" s="1106"/>
      <c r="J28" s="1105" t="str">
        <f t="shared" si="2"/>
        <v/>
      </c>
      <c r="K28" s="1105"/>
      <c r="L28" s="1102" t="str">
        <f t="shared" si="3"/>
        <v/>
      </c>
      <c r="M28" s="1102"/>
      <c r="N28" s="1102"/>
      <c r="O28" s="1103" t="str">
        <f>IF(Data!L106="","",Data!L106)</f>
        <v/>
      </c>
      <c r="P28" s="1103"/>
      <c r="Q28" s="1103" t="str">
        <f>IF(Data!N106="","",Data!N106)</f>
        <v/>
      </c>
      <c r="R28" s="1103"/>
      <c r="S28" s="1104" t="str">
        <f>IF(Data!P106="","",Data!P106)</f>
        <v/>
      </c>
      <c r="T28" s="1104"/>
      <c r="U28" s="1105" t="str">
        <f t="shared" si="0"/>
        <v/>
      </c>
      <c r="V28" s="1105"/>
    </row>
    <row r="29" spans="1:22">
      <c r="A29" s="1102" t="str">
        <f>IF(Data!B107="","",Data!B107)</f>
        <v/>
      </c>
      <c r="B29" s="1102"/>
      <c r="C29" s="1102"/>
      <c r="D29" s="1098" t="str">
        <f>IF(Data!D107="","",Data!D107)</f>
        <v/>
      </c>
      <c r="E29" s="1099"/>
      <c r="F29" s="1098" t="str">
        <f>IF(Data!F107="","",Data!F107)</f>
        <v/>
      </c>
      <c r="G29" s="1099"/>
      <c r="H29" s="1104" t="str">
        <f>IF(Data!H107="","",Data!H107)</f>
        <v/>
      </c>
      <c r="I29" s="1106"/>
      <c r="J29" s="1105" t="str">
        <f t="shared" si="2"/>
        <v/>
      </c>
      <c r="K29" s="1105"/>
      <c r="L29" s="1102" t="str">
        <f t="shared" si="3"/>
        <v/>
      </c>
      <c r="M29" s="1102"/>
      <c r="N29" s="1102"/>
      <c r="O29" s="1103" t="str">
        <f>IF(Data!L107="","",Data!L107)</f>
        <v/>
      </c>
      <c r="P29" s="1103"/>
      <c r="Q29" s="1103" t="str">
        <f>IF(Data!N107="","",Data!N107)</f>
        <v/>
      </c>
      <c r="R29" s="1103"/>
      <c r="S29" s="1104" t="str">
        <f>IF(Data!P107="","",Data!P107)</f>
        <v/>
      </c>
      <c r="T29" s="1104"/>
      <c r="U29" s="1105" t="str">
        <f t="shared" si="0"/>
        <v/>
      </c>
      <c r="V29" s="1105"/>
    </row>
    <row r="30" spans="1:22">
      <c r="A30" s="1102" t="str">
        <f>IF(Data!B108="","",Data!B108)</f>
        <v/>
      </c>
      <c r="B30" s="1102"/>
      <c r="C30" s="1102"/>
      <c r="D30" s="1098" t="str">
        <f>IF(Data!D108="","",Data!D108)</f>
        <v/>
      </c>
      <c r="E30" s="1099"/>
      <c r="F30" s="1098" t="str">
        <f>IF(Data!F108="","",Data!F108)</f>
        <v/>
      </c>
      <c r="G30" s="1099"/>
      <c r="H30" s="1104" t="str">
        <f>IF(Data!H108="","",Data!H108)</f>
        <v/>
      </c>
      <c r="I30" s="1106"/>
      <c r="J30" s="1105" t="str">
        <f t="shared" si="2"/>
        <v/>
      </c>
      <c r="K30" s="1105"/>
      <c r="L30" s="1102" t="str">
        <f t="shared" si="3"/>
        <v/>
      </c>
      <c r="M30" s="1102"/>
      <c r="N30" s="1102"/>
      <c r="O30" s="1103" t="str">
        <f>IF(Data!L108="","",Data!L108)</f>
        <v/>
      </c>
      <c r="P30" s="1103"/>
      <c r="Q30" s="1103" t="str">
        <f>IF(Data!N108="","",Data!N108)</f>
        <v/>
      </c>
      <c r="R30" s="1103"/>
      <c r="S30" s="1104" t="str">
        <f>IF(Data!P108="","",Data!P108)</f>
        <v/>
      </c>
      <c r="T30" s="1104"/>
      <c r="U30" s="1105" t="str">
        <f t="shared" si="0"/>
        <v/>
      </c>
      <c r="V30" s="1105"/>
    </row>
    <row r="31" spans="1:22">
      <c r="A31" s="1102" t="str">
        <f>IF(Data!B109="","",Data!B109)</f>
        <v/>
      </c>
      <c r="B31" s="1102"/>
      <c r="C31" s="1102"/>
      <c r="D31" s="1098" t="str">
        <f>IF(Data!D109="","",Data!D109)</f>
        <v/>
      </c>
      <c r="E31" s="1099"/>
      <c r="F31" s="1098" t="str">
        <f>IF(Data!F109="","",Data!F109)</f>
        <v/>
      </c>
      <c r="G31" s="1099"/>
      <c r="H31" s="1104" t="str">
        <f>IF(Data!H109="","",Data!H109)</f>
        <v/>
      </c>
      <c r="I31" s="1106"/>
      <c r="J31" s="1105" t="str">
        <f>IF(F31="","",IF(H31="",0,+ROUND(F31*H31,3)))</f>
        <v/>
      </c>
      <c r="K31" s="1105"/>
      <c r="L31" s="1102" t="str">
        <f t="shared" si="3"/>
        <v/>
      </c>
      <c r="M31" s="1102"/>
      <c r="N31" s="1102"/>
      <c r="O31" s="1103" t="str">
        <f>IF(Data!L109="","",Data!L109)</f>
        <v/>
      </c>
      <c r="P31" s="1103"/>
      <c r="Q31" s="1103" t="str">
        <f>IF(Data!N109="","",Data!N109)</f>
        <v/>
      </c>
      <c r="R31" s="1103"/>
      <c r="S31" s="1104" t="str">
        <f>IF(Data!P109="","",Data!P109)</f>
        <v/>
      </c>
      <c r="T31" s="1104"/>
      <c r="U31" s="1105" t="str">
        <f t="shared" si="0"/>
        <v/>
      </c>
      <c r="V31" s="1105"/>
    </row>
    <row r="32" spans="1:22">
      <c r="A32" s="1102" t="str">
        <f>IF(Data!B110="","",Data!B110)</f>
        <v/>
      </c>
      <c r="B32" s="1102"/>
      <c r="C32" s="1102"/>
      <c r="D32" s="1098" t="str">
        <f>IF(Data!D110="","",Data!D110)</f>
        <v/>
      </c>
      <c r="E32" s="1099"/>
      <c r="F32" s="1098" t="str">
        <f>IF(Data!F110="","",Data!F110)</f>
        <v/>
      </c>
      <c r="G32" s="1099"/>
      <c r="H32" s="1104" t="str">
        <f>IF(Data!H110="","",Data!H110)</f>
        <v/>
      </c>
      <c r="I32" s="1106"/>
      <c r="J32" s="1105" t="str">
        <f t="shared" ref="J32:J45" si="4">IF(F32="","",IF(H32="",0,+ROUND(F32*H32,3)))</f>
        <v/>
      </c>
      <c r="K32" s="1105"/>
      <c r="L32" s="1102" t="str">
        <f t="shared" si="3"/>
        <v/>
      </c>
      <c r="M32" s="1102"/>
      <c r="N32" s="1102"/>
      <c r="O32" s="1103" t="str">
        <f>IF(Data!L110="","",Data!L110)</f>
        <v/>
      </c>
      <c r="P32" s="1103"/>
      <c r="Q32" s="1103" t="str">
        <f>IF(Data!N110="","",Data!N110)</f>
        <v/>
      </c>
      <c r="R32" s="1103"/>
      <c r="S32" s="1104" t="str">
        <f>IF(Data!P110="","",Data!P110)</f>
        <v/>
      </c>
      <c r="T32" s="1104"/>
      <c r="U32" s="1105" t="str">
        <f t="shared" si="0"/>
        <v/>
      </c>
      <c r="V32" s="1105"/>
    </row>
    <row r="33" spans="1:22">
      <c r="A33" s="1102" t="str">
        <f>IF(Data!B111="","",Data!B111)</f>
        <v/>
      </c>
      <c r="B33" s="1102"/>
      <c r="C33" s="1102"/>
      <c r="D33" s="1098" t="str">
        <f>IF(Data!D111="","",Data!D111)</f>
        <v/>
      </c>
      <c r="E33" s="1099"/>
      <c r="F33" s="1098" t="str">
        <f>IF(Data!F111="","",Data!F111)</f>
        <v/>
      </c>
      <c r="G33" s="1099"/>
      <c r="H33" s="1104" t="str">
        <f>IF(Data!H111="","",Data!H111)</f>
        <v/>
      </c>
      <c r="I33" s="1106"/>
      <c r="J33" s="1105" t="str">
        <f t="shared" si="4"/>
        <v/>
      </c>
      <c r="K33" s="1105"/>
      <c r="L33" s="1102" t="str">
        <f t="shared" si="3"/>
        <v/>
      </c>
      <c r="M33" s="1102"/>
      <c r="N33" s="1102"/>
      <c r="O33" s="1103" t="str">
        <f>IF(Data!L111="","",Data!L111)</f>
        <v/>
      </c>
      <c r="P33" s="1103"/>
      <c r="Q33" s="1103" t="str">
        <f>IF(Data!N111="","",Data!N111)</f>
        <v/>
      </c>
      <c r="R33" s="1103"/>
      <c r="S33" s="1104" t="str">
        <f>IF(Data!P111="","",Data!P111)</f>
        <v/>
      </c>
      <c r="T33" s="1104"/>
      <c r="U33" s="1105" t="str">
        <f t="shared" si="0"/>
        <v/>
      </c>
      <c r="V33" s="1105"/>
    </row>
    <row r="34" spans="1:22">
      <c r="A34" s="1102" t="str">
        <f>IF(Data!B112="","",Data!B112)</f>
        <v/>
      </c>
      <c r="B34" s="1102"/>
      <c r="C34" s="1102"/>
      <c r="D34" s="1098" t="str">
        <f>IF(Data!D112="","",Data!D112)</f>
        <v/>
      </c>
      <c r="E34" s="1099"/>
      <c r="F34" s="1098" t="str">
        <f>IF(Data!F112="","",Data!F112)</f>
        <v/>
      </c>
      <c r="G34" s="1099"/>
      <c r="H34" s="1104" t="str">
        <f>IF(Data!H112="","",Data!H112)</f>
        <v/>
      </c>
      <c r="I34" s="1106"/>
      <c r="J34" s="1105" t="str">
        <f t="shared" si="4"/>
        <v/>
      </c>
      <c r="K34" s="1105"/>
      <c r="L34" s="1102" t="str">
        <f t="shared" si="3"/>
        <v/>
      </c>
      <c r="M34" s="1102"/>
      <c r="N34" s="1102"/>
      <c r="O34" s="1103" t="str">
        <f>IF(Data!L112="","",Data!L112)</f>
        <v/>
      </c>
      <c r="P34" s="1103"/>
      <c r="Q34" s="1103" t="str">
        <f>IF(Data!N112="","",Data!N112)</f>
        <v/>
      </c>
      <c r="R34" s="1103"/>
      <c r="S34" s="1104" t="str">
        <f>IF(Data!P112="","",Data!P112)</f>
        <v/>
      </c>
      <c r="T34" s="1104"/>
      <c r="U34" s="1105" t="str">
        <f t="shared" si="0"/>
        <v/>
      </c>
      <c r="V34" s="1105"/>
    </row>
    <row r="35" spans="1:22">
      <c r="A35" s="1102" t="str">
        <f>IF(Data!B113="","",Data!B113)</f>
        <v/>
      </c>
      <c r="B35" s="1102"/>
      <c r="C35" s="1102"/>
      <c r="D35" s="1098" t="str">
        <f>IF(Data!D113="","",Data!D113)</f>
        <v/>
      </c>
      <c r="E35" s="1099"/>
      <c r="F35" s="1098" t="str">
        <f>IF(Data!F113="","",Data!F113)</f>
        <v/>
      </c>
      <c r="G35" s="1099"/>
      <c r="H35" s="1104" t="str">
        <f>IF(Data!H113="","",Data!H113)</f>
        <v/>
      </c>
      <c r="I35" s="1106"/>
      <c r="J35" s="1105" t="str">
        <f t="shared" si="4"/>
        <v/>
      </c>
      <c r="K35" s="1105"/>
      <c r="L35" s="1102" t="str">
        <f t="shared" si="3"/>
        <v/>
      </c>
      <c r="M35" s="1102"/>
      <c r="N35" s="1102"/>
      <c r="O35" s="1103" t="str">
        <f>IF(Data!L113="","",Data!L113)</f>
        <v/>
      </c>
      <c r="P35" s="1103"/>
      <c r="Q35" s="1103" t="str">
        <f>IF(Data!N113="","",Data!N113)</f>
        <v/>
      </c>
      <c r="R35" s="1103"/>
      <c r="S35" s="1104" t="str">
        <f>IF(Data!P113="","",Data!P113)</f>
        <v/>
      </c>
      <c r="T35" s="1104"/>
      <c r="U35" s="1105" t="str">
        <f t="shared" si="0"/>
        <v/>
      </c>
      <c r="V35" s="1105"/>
    </row>
    <row r="36" spans="1:22">
      <c r="A36" s="1102" t="str">
        <f>IF(Data!B114="","",Data!B114)</f>
        <v/>
      </c>
      <c r="B36" s="1102"/>
      <c r="C36" s="1102"/>
      <c r="D36" s="1098" t="str">
        <f>IF(Data!D114="","",Data!D114)</f>
        <v/>
      </c>
      <c r="E36" s="1099"/>
      <c r="F36" s="1098" t="str">
        <f>IF(Data!F114="","",Data!F114)</f>
        <v/>
      </c>
      <c r="G36" s="1099"/>
      <c r="H36" s="1104" t="str">
        <f>IF(Data!H114="","",Data!H114)</f>
        <v/>
      </c>
      <c r="I36" s="1106"/>
      <c r="J36" s="1105" t="str">
        <f t="shared" si="4"/>
        <v/>
      </c>
      <c r="K36" s="1105"/>
      <c r="L36" s="1102" t="str">
        <f t="shared" si="3"/>
        <v/>
      </c>
      <c r="M36" s="1102"/>
      <c r="N36" s="1102"/>
      <c r="O36" s="1103" t="str">
        <f>IF(Data!L114="","",Data!L114)</f>
        <v/>
      </c>
      <c r="P36" s="1103"/>
      <c r="Q36" s="1103" t="str">
        <f>IF(Data!N114="","",Data!N114)</f>
        <v/>
      </c>
      <c r="R36" s="1103"/>
      <c r="S36" s="1104" t="str">
        <f>IF(Data!P114="","",Data!P114)</f>
        <v/>
      </c>
      <c r="T36" s="1104"/>
      <c r="U36" s="1105" t="str">
        <f t="shared" si="0"/>
        <v/>
      </c>
      <c r="V36" s="1105"/>
    </row>
    <row r="37" spans="1:22">
      <c r="A37" s="1102" t="str">
        <f>IF(Data!B115="","",Data!B115)</f>
        <v/>
      </c>
      <c r="B37" s="1102"/>
      <c r="C37" s="1102"/>
      <c r="D37" s="1098" t="str">
        <f>IF(Data!D115="","",Data!D115)</f>
        <v/>
      </c>
      <c r="E37" s="1099"/>
      <c r="F37" s="1098" t="str">
        <f>IF(Data!F115="","",Data!F115)</f>
        <v/>
      </c>
      <c r="G37" s="1099"/>
      <c r="H37" s="1104" t="str">
        <f>IF(Data!H115="","",Data!H115)</f>
        <v/>
      </c>
      <c r="I37" s="1106"/>
      <c r="J37" s="1105" t="str">
        <f t="shared" si="4"/>
        <v/>
      </c>
      <c r="K37" s="1105"/>
      <c r="L37" s="1102" t="str">
        <f t="shared" si="3"/>
        <v/>
      </c>
      <c r="M37" s="1102"/>
      <c r="N37" s="1102"/>
      <c r="O37" s="1103" t="str">
        <f>IF(Data!L115="","",Data!L115)</f>
        <v/>
      </c>
      <c r="P37" s="1103"/>
      <c r="Q37" s="1103" t="str">
        <f>IF(Data!N115="","",Data!N115)</f>
        <v/>
      </c>
      <c r="R37" s="1103"/>
      <c r="S37" s="1104" t="str">
        <f>IF(Data!P115="","",Data!P115)</f>
        <v/>
      </c>
      <c r="T37" s="1104"/>
      <c r="U37" s="1105" t="str">
        <f t="shared" si="0"/>
        <v/>
      </c>
      <c r="V37" s="1105"/>
    </row>
    <row r="38" spans="1:22">
      <c r="A38" s="1102" t="str">
        <f>IF(Data!B116="","",Data!B116)</f>
        <v/>
      </c>
      <c r="B38" s="1102"/>
      <c r="C38" s="1102"/>
      <c r="D38" s="1098" t="str">
        <f>IF(Data!D116="","",Data!D116)</f>
        <v/>
      </c>
      <c r="E38" s="1099"/>
      <c r="F38" s="1098" t="str">
        <f>IF(Data!F116="","",Data!F116)</f>
        <v/>
      </c>
      <c r="G38" s="1099"/>
      <c r="H38" s="1104" t="str">
        <f>IF(Data!H116="","",Data!H116)</f>
        <v/>
      </c>
      <c r="I38" s="1106"/>
      <c r="J38" s="1105" t="str">
        <f t="shared" si="4"/>
        <v/>
      </c>
      <c r="K38" s="1105"/>
      <c r="L38" s="1102" t="str">
        <f t="shared" si="3"/>
        <v/>
      </c>
      <c r="M38" s="1102"/>
      <c r="N38" s="1102"/>
      <c r="O38" s="1103" t="str">
        <f>IF(Data!L116="","",Data!L116)</f>
        <v/>
      </c>
      <c r="P38" s="1103"/>
      <c r="Q38" s="1103" t="str">
        <f>IF(Data!N116="","",Data!N116)</f>
        <v/>
      </c>
      <c r="R38" s="1103"/>
      <c r="S38" s="1104" t="str">
        <f>IF(Data!P116="","",Data!P116)</f>
        <v/>
      </c>
      <c r="T38" s="1104"/>
      <c r="U38" s="1105" t="str">
        <f t="shared" si="0"/>
        <v/>
      </c>
      <c r="V38" s="1105"/>
    </row>
    <row r="39" spans="1:22">
      <c r="A39" s="1102" t="str">
        <f>IF(Data!B117="","",Data!B117)</f>
        <v/>
      </c>
      <c r="B39" s="1102"/>
      <c r="C39" s="1102"/>
      <c r="D39" s="1098" t="str">
        <f>IF(Data!D117="","",Data!D117)</f>
        <v/>
      </c>
      <c r="E39" s="1099"/>
      <c r="F39" s="1098" t="str">
        <f>IF(Data!F117="","",Data!F117)</f>
        <v/>
      </c>
      <c r="G39" s="1099"/>
      <c r="H39" s="1104" t="str">
        <f>IF(Data!H117="","",Data!H117)</f>
        <v/>
      </c>
      <c r="I39" s="1106"/>
      <c r="J39" s="1105" t="str">
        <f t="shared" si="4"/>
        <v/>
      </c>
      <c r="K39" s="1105"/>
      <c r="L39" s="1102" t="str">
        <f t="shared" si="3"/>
        <v/>
      </c>
      <c r="M39" s="1102"/>
      <c r="N39" s="1102"/>
      <c r="O39" s="1103" t="str">
        <f>IF(Data!L117="","",Data!L117)</f>
        <v/>
      </c>
      <c r="P39" s="1103"/>
      <c r="Q39" s="1103" t="str">
        <f>IF(Data!N117="","",Data!N117)</f>
        <v/>
      </c>
      <c r="R39" s="1103"/>
      <c r="S39" s="1104" t="str">
        <f>IF(Data!P117="","",Data!P117)</f>
        <v/>
      </c>
      <c r="T39" s="1104"/>
      <c r="U39" s="1105" t="str">
        <f t="shared" si="0"/>
        <v/>
      </c>
      <c r="V39" s="1105"/>
    </row>
    <row r="40" spans="1:22">
      <c r="A40" s="1102" t="str">
        <f>IF(Data!B118="","",Data!B118)</f>
        <v/>
      </c>
      <c r="B40" s="1102"/>
      <c r="C40" s="1102"/>
      <c r="D40" s="1098" t="str">
        <f>IF(Data!D118="","",Data!D118)</f>
        <v/>
      </c>
      <c r="E40" s="1099"/>
      <c r="F40" s="1098" t="str">
        <f>IF(Data!F118="","",Data!F118)</f>
        <v/>
      </c>
      <c r="G40" s="1099"/>
      <c r="H40" s="1104" t="str">
        <f>IF(Data!H118="","",Data!H118)</f>
        <v/>
      </c>
      <c r="I40" s="1106"/>
      <c r="J40" s="1105" t="str">
        <f t="shared" si="4"/>
        <v/>
      </c>
      <c r="K40" s="1105"/>
      <c r="L40" s="1102" t="str">
        <f t="shared" si="3"/>
        <v/>
      </c>
      <c r="M40" s="1102"/>
      <c r="N40" s="1102"/>
      <c r="O40" s="1103" t="str">
        <f>IF(Data!L118="","",Data!L118)</f>
        <v/>
      </c>
      <c r="P40" s="1103"/>
      <c r="Q40" s="1103" t="str">
        <f>IF(Data!N118="","",Data!N118)</f>
        <v/>
      </c>
      <c r="R40" s="1103"/>
      <c r="S40" s="1104" t="str">
        <f>IF(Data!P118="","",Data!P118)</f>
        <v/>
      </c>
      <c r="T40" s="1104"/>
      <c r="U40" s="1105" t="str">
        <f t="shared" si="0"/>
        <v/>
      </c>
      <c r="V40" s="1105"/>
    </row>
    <row r="41" spans="1:22">
      <c r="A41" s="1102" t="str">
        <f>IF(Data!B119="","",Data!B119)</f>
        <v/>
      </c>
      <c r="B41" s="1102"/>
      <c r="C41" s="1102"/>
      <c r="D41" s="1098" t="str">
        <f>IF(Data!D119="","",Data!D119)</f>
        <v/>
      </c>
      <c r="E41" s="1099"/>
      <c r="F41" s="1098" t="str">
        <f>IF(Data!F119="","",Data!F119)</f>
        <v/>
      </c>
      <c r="G41" s="1099"/>
      <c r="H41" s="1104" t="str">
        <f>IF(Data!H119="","",Data!H119)</f>
        <v/>
      </c>
      <c r="I41" s="1106"/>
      <c r="J41" s="1105" t="str">
        <f t="shared" si="4"/>
        <v/>
      </c>
      <c r="K41" s="1105"/>
      <c r="L41" s="1102" t="str">
        <f t="shared" si="3"/>
        <v/>
      </c>
      <c r="M41" s="1102"/>
      <c r="N41" s="1102"/>
      <c r="O41" s="1103" t="str">
        <f>IF(Data!L119="","",Data!L119)</f>
        <v/>
      </c>
      <c r="P41" s="1103"/>
      <c r="Q41" s="1103" t="str">
        <f>IF(Data!N119="","",Data!N119)</f>
        <v/>
      </c>
      <c r="R41" s="1103"/>
      <c r="S41" s="1104" t="str">
        <f>IF(Data!P119="","",Data!P119)</f>
        <v/>
      </c>
      <c r="T41" s="1104"/>
      <c r="U41" s="1105" t="str">
        <f t="shared" si="0"/>
        <v/>
      </c>
      <c r="V41" s="1105"/>
    </row>
    <row r="42" spans="1:22">
      <c r="A42" s="1102" t="str">
        <f>IF(Data!B120="","",Data!B120)</f>
        <v/>
      </c>
      <c r="B42" s="1102"/>
      <c r="C42" s="1102"/>
      <c r="D42" s="1098" t="str">
        <f>IF(Data!D120="","",Data!D120)</f>
        <v/>
      </c>
      <c r="E42" s="1099"/>
      <c r="F42" s="1098" t="str">
        <f>IF(Data!F120="","",Data!F120)</f>
        <v/>
      </c>
      <c r="G42" s="1099"/>
      <c r="H42" s="1104" t="str">
        <f>IF(Data!H120="","",Data!H120)</f>
        <v/>
      </c>
      <c r="I42" s="1106"/>
      <c r="J42" s="1105" t="str">
        <f t="shared" si="4"/>
        <v/>
      </c>
      <c r="K42" s="1105"/>
      <c r="L42" s="1102" t="str">
        <f t="shared" si="3"/>
        <v/>
      </c>
      <c r="M42" s="1102"/>
      <c r="N42" s="1102"/>
      <c r="O42" s="1103" t="str">
        <f>IF(Data!L120="","",Data!L120)</f>
        <v/>
      </c>
      <c r="P42" s="1103"/>
      <c r="Q42" s="1103" t="str">
        <f>IF(Data!N120="","",Data!N120)</f>
        <v/>
      </c>
      <c r="R42" s="1103"/>
      <c r="S42" s="1104" t="str">
        <f>IF(Data!P120="","",Data!P120)</f>
        <v/>
      </c>
      <c r="T42" s="1104"/>
      <c r="U42" s="1105" t="str">
        <f t="shared" si="0"/>
        <v/>
      </c>
      <c r="V42" s="1105"/>
    </row>
    <row r="43" spans="1:22">
      <c r="A43" s="1102" t="str">
        <f>IF(Data!B121="","",Data!B121)</f>
        <v/>
      </c>
      <c r="B43" s="1102"/>
      <c r="C43" s="1102"/>
      <c r="D43" s="1098" t="str">
        <f>IF(Data!D121="","",Data!D121)</f>
        <v/>
      </c>
      <c r="E43" s="1099"/>
      <c r="F43" s="1098" t="str">
        <f>IF(Data!F121="","",Data!F121)</f>
        <v/>
      </c>
      <c r="G43" s="1099"/>
      <c r="H43" s="1104" t="str">
        <f>IF(Data!H121="","",Data!H121)</f>
        <v/>
      </c>
      <c r="I43" s="1106"/>
      <c r="J43" s="1105" t="str">
        <f t="shared" si="4"/>
        <v/>
      </c>
      <c r="K43" s="1105"/>
      <c r="L43" s="1102" t="str">
        <f t="shared" si="3"/>
        <v/>
      </c>
      <c r="M43" s="1102"/>
      <c r="N43" s="1102"/>
      <c r="O43" s="1103" t="str">
        <f>IF(Data!L121="","",Data!L121)</f>
        <v/>
      </c>
      <c r="P43" s="1103"/>
      <c r="Q43" s="1103" t="str">
        <f>IF(Data!N121="","",Data!N121)</f>
        <v/>
      </c>
      <c r="R43" s="1103"/>
      <c r="S43" s="1104" t="str">
        <f>IF(Data!P121="","",Data!P121)</f>
        <v/>
      </c>
      <c r="T43" s="1104"/>
      <c r="U43" s="1105" t="str">
        <f t="shared" si="0"/>
        <v/>
      </c>
      <c r="V43" s="1105"/>
    </row>
    <row r="44" spans="1:22">
      <c r="A44" s="1102" t="str">
        <f>IF(Data!B122="","",Data!B122)</f>
        <v/>
      </c>
      <c r="B44" s="1102"/>
      <c r="C44" s="1102"/>
      <c r="D44" s="1098" t="str">
        <f>IF(Data!D122="","",Data!D122)</f>
        <v/>
      </c>
      <c r="E44" s="1099"/>
      <c r="F44" s="1098" t="str">
        <f>IF(Data!F122="","",Data!F122)</f>
        <v/>
      </c>
      <c r="G44" s="1099"/>
      <c r="H44" s="1104" t="str">
        <f>IF(Data!H122="","",Data!H122)</f>
        <v/>
      </c>
      <c r="I44" s="1106"/>
      <c r="J44" s="1105" t="str">
        <f t="shared" si="4"/>
        <v/>
      </c>
      <c r="K44" s="1105"/>
      <c r="L44" s="1102" t="str">
        <f t="shared" si="3"/>
        <v/>
      </c>
      <c r="M44" s="1102"/>
      <c r="N44" s="1102"/>
      <c r="O44" s="1103" t="str">
        <f>IF(Data!L122="","",Data!L122)</f>
        <v/>
      </c>
      <c r="P44" s="1103"/>
      <c r="Q44" s="1103" t="str">
        <f>IF(Data!N122="","",Data!N122)</f>
        <v/>
      </c>
      <c r="R44" s="1103"/>
      <c r="S44" s="1104" t="str">
        <f>IF(Data!P122="","",Data!P122)</f>
        <v/>
      </c>
      <c r="T44" s="1104"/>
      <c r="U44" s="1105" t="str">
        <f t="shared" si="0"/>
        <v/>
      </c>
      <c r="V44" s="1105"/>
    </row>
    <row r="45" spans="1:22">
      <c r="A45" s="1107" t="str">
        <f>IF(Data!B123="","",Data!B123)</f>
        <v/>
      </c>
      <c r="B45" s="1107"/>
      <c r="C45" s="1107"/>
      <c r="D45" s="1108" t="str">
        <f>IF(Data!D123="","",Data!D123)</f>
        <v/>
      </c>
      <c r="E45" s="1109"/>
      <c r="F45" s="1108" t="str">
        <f>IF(Data!F123="","",Data!F123)</f>
        <v/>
      </c>
      <c r="G45" s="1109"/>
      <c r="H45" s="1110" t="str">
        <f>IF(Data!H123="","",Data!H123)</f>
        <v/>
      </c>
      <c r="I45" s="1111"/>
      <c r="J45" s="1112" t="str">
        <f t="shared" si="4"/>
        <v/>
      </c>
      <c r="K45" s="1112"/>
      <c r="L45" s="1107" t="str">
        <f t="shared" si="3"/>
        <v/>
      </c>
      <c r="M45" s="1107"/>
      <c r="N45" s="1107"/>
      <c r="O45" s="1113" t="str">
        <f>IF(Data!L123="","",Data!L123)</f>
        <v/>
      </c>
      <c r="P45" s="1113"/>
      <c r="Q45" s="1114" t="str">
        <f>IF(Data!N123="","",Data!N123)</f>
        <v/>
      </c>
      <c r="R45" s="1114"/>
      <c r="S45" s="1115" t="str">
        <f>IF(Data!P123="","",Data!P123)</f>
        <v/>
      </c>
      <c r="T45" s="1115"/>
      <c r="U45" s="1116" t="str">
        <f t="shared" si="0"/>
        <v/>
      </c>
      <c r="V45" s="1116"/>
    </row>
    <row r="46" spans="1:22" ht="15" thickBot="1">
      <c r="A46" s="87" t="s">
        <v>191</v>
      </c>
      <c r="B46" s="1117"/>
      <c r="E46" s="1118"/>
      <c r="F46" s="1119">
        <f>IF(F16&lt;&gt;"",SUM(F16:F45),"")</f>
        <v>252</v>
      </c>
      <c r="G46" s="1120"/>
      <c r="H46" s="91"/>
      <c r="I46" s="1118"/>
      <c r="J46" s="1119">
        <f>IF(J16="","",SUM(J16:J45))</f>
        <v>258.3</v>
      </c>
      <c r="K46" s="1120"/>
      <c r="L46" s="1121"/>
      <c r="M46" s="1117"/>
      <c r="N46" s="1117"/>
      <c r="O46" s="1117"/>
      <c r="P46" s="1118"/>
      <c r="Q46" s="1122" t="str">
        <f>IF(Q16="","",SUM(Q16:Q45))</f>
        <v/>
      </c>
      <c r="R46" s="1123"/>
      <c r="S46" s="1124"/>
      <c r="T46" s="1125"/>
      <c r="U46" s="1122" t="str">
        <f>IF(U16="","",SUM(U16:U45))</f>
        <v/>
      </c>
      <c r="V46" s="1123"/>
    </row>
    <row r="47" spans="1:22" ht="6.75" customHeight="1">
      <c r="H47" s="1126"/>
      <c r="I47" s="1126"/>
    </row>
    <row r="48" spans="1:22" ht="15" thickBot="1">
      <c r="A48" s="1070" t="s">
        <v>192</v>
      </c>
      <c r="K48" s="1064" t="s">
        <v>193</v>
      </c>
      <c r="L48" s="1127">
        <f>IF([2]Données!K126="","",[2]Données!K126)</f>
        <v>1</v>
      </c>
      <c r="M48" s="1127"/>
      <c r="N48" s="87" t="s">
        <v>194</v>
      </c>
    </row>
    <row r="49" spans="1:22" ht="26.25" customHeight="1">
      <c r="A49" s="1128" t="s">
        <v>13</v>
      </c>
      <c r="B49" s="1073"/>
      <c r="C49" s="1074"/>
      <c r="D49" s="1129" t="s">
        <v>186</v>
      </c>
      <c r="E49" s="1130"/>
      <c r="F49" s="1129" t="s">
        <v>187</v>
      </c>
      <c r="G49" s="1131"/>
      <c r="H49" s="1130"/>
      <c r="I49" s="1129" t="s">
        <v>195</v>
      </c>
      <c r="J49" s="1131"/>
      <c r="K49" s="1132"/>
      <c r="L49" s="1133" t="s">
        <v>13</v>
      </c>
      <c r="M49" s="1073"/>
      <c r="N49" s="1074"/>
      <c r="O49" s="1075" t="s">
        <v>186</v>
      </c>
      <c r="P49" s="1075"/>
      <c r="Q49" s="1075" t="s">
        <v>187</v>
      </c>
      <c r="R49" s="1075"/>
      <c r="S49" s="1075"/>
      <c r="T49" s="1075" t="s">
        <v>195</v>
      </c>
      <c r="U49" s="1075"/>
      <c r="V49" s="1134"/>
    </row>
    <row r="50" spans="1:22" ht="12.75" customHeight="1">
      <c r="A50" s="1135" t="str">
        <f>IF(Data!B128="","",Data!B128)</f>
        <v>FW P</v>
      </c>
      <c r="B50" s="1136"/>
      <c r="C50" s="1137"/>
      <c r="D50" s="1138" t="str">
        <f>IF(Data!D128="","",Data!D128)</f>
        <v>IND</v>
      </c>
      <c r="E50" s="1139"/>
      <c r="F50" s="1140">
        <f>IF(Data!F128="","",Data!F128)</f>
        <v>12</v>
      </c>
      <c r="G50" s="1141"/>
      <c r="H50" s="1142"/>
      <c r="I50" s="1140">
        <f>IF(F50="","",F50*L$48)</f>
        <v>12</v>
      </c>
      <c r="J50" s="1141"/>
      <c r="K50" s="1143"/>
      <c r="L50" s="1144" t="str">
        <f>IF(A50="","",A50)</f>
        <v>FW P</v>
      </c>
      <c r="M50" s="1145"/>
      <c r="N50" s="1146"/>
      <c r="O50" s="1147" t="str">
        <f>IF(Data!L128="","",Data!L128)</f>
        <v>IND</v>
      </c>
      <c r="P50" s="1148"/>
      <c r="Q50" s="1149">
        <f>IF(Data!N128="","",Data!N128)</f>
        <v>11</v>
      </c>
      <c r="R50" s="1149"/>
      <c r="S50" s="1149"/>
      <c r="T50" s="1149">
        <f>IF(Q50="","",Q50*L$48)</f>
        <v>11</v>
      </c>
      <c r="U50" s="1149"/>
      <c r="V50" s="1150"/>
    </row>
    <row r="51" spans="1:22">
      <c r="A51" s="1151" t="str">
        <f>IF(Data!B129="","",Data!B129)</f>
        <v>FW S</v>
      </c>
      <c r="B51" s="1049"/>
      <c r="C51" s="1050"/>
      <c r="D51" s="1152" t="str">
        <f>IF(Data!D129="","",Data!D129)</f>
        <v>IND</v>
      </c>
      <c r="E51" s="1153"/>
      <c r="F51" s="1154" t="str">
        <f>IF(Data!F129="","",Data!F129)</f>
        <v/>
      </c>
      <c r="G51" s="1155"/>
      <c r="H51" s="1156"/>
      <c r="I51" s="1154" t="str">
        <f>IF(F51="","",F51*L$48)</f>
        <v/>
      </c>
      <c r="J51" s="1004"/>
      <c r="K51" s="1157"/>
      <c r="L51" s="1158" t="str">
        <f>IF(A51="","",A51)</f>
        <v>FW S</v>
      </c>
      <c r="M51" s="1159"/>
      <c r="N51" s="1160"/>
      <c r="O51" s="1161" t="str">
        <f>IF(Data!L129="","",Data!L129)</f>
        <v/>
      </c>
      <c r="P51" s="1162"/>
      <c r="Q51" s="1163" t="str">
        <f>IF(Data!N129="","",Data!N129)</f>
        <v/>
      </c>
      <c r="R51" s="1163"/>
      <c r="S51" s="1163"/>
      <c r="T51" s="1163" t="str">
        <f>IF(Q51="","",Q51*L$48)</f>
        <v/>
      </c>
      <c r="U51" s="1163"/>
      <c r="V51" s="1164"/>
    </row>
    <row r="52" spans="1:22">
      <c r="A52" s="1151" t="str">
        <f>IF(Data!B130="","",Data!B130)</f>
        <v>D W</v>
      </c>
      <c r="B52" s="1049"/>
      <c r="C52" s="1050"/>
      <c r="D52" s="1165" t="str">
        <f>IF(Data!D130="","",Data!D130)</f>
        <v/>
      </c>
      <c r="E52" s="1166"/>
      <c r="F52" s="1154" t="str">
        <f>IF(Data!F130="","",Data!F130)</f>
        <v/>
      </c>
      <c r="G52" s="1155"/>
      <c r="H52" s="1156"/>
      <c r="I52" s="1154" t="str">
        <f>IF(F52="","",F52*L$48)</f>
        <v/>
      </c>
      <c r="J52" s="1004"/>
      <c r="K52" s="1157"/>
      <c r="L52" s="1158" t="str">
        <f>IF(A52="","",A52)</f>
        <v>D W</v>
      </c>
      <c r="M52" s="1159"/>
      <c r="N52" s="1160"/>
      <c r="O52" s="1161" t="str">
        <f>IF(Data!L130="","",Data!L130)</f>
        <v/>
      </c>
      <c r="P52" s="1162"/>
      <c r="Q52" s="1163" t="str">
        <f>IF(Data!N130="","",Data!N130)</f>
        <v/>
      </c>
      <c r="R52" s="1163"/>
      <c r="S52" s="1163"/>
      <c r="T52" s="1163" t="str">
        <f>IF(Q52="","",Q52*L$48)</f>
        <v/>
      </c>
      <c r="U52" s="1163"/>
      <c r="V52" s="1164"/>
    </row>
    <row r="53" spans="1:22" ht="15" thickBot="1">
      <c r="A53" s="1167" t="str">
        <f>IF(Data!B131="","",Data!B131)</f>
        <v/>
      </c>
      <c r="B53" s="1168"/>
      <c r="C53" s="1169"/>
      <c r="D53" s="1170" t="str">
        <f>IF(Data!D131="","",Data!D131)</f>
        <v/>
      </c>
      <c r="E53" s="1171"/>
      <c r="F53" s="1172" t="str">
        <f>IF(Data!F131="","",Data!F131)</f>
        <v/>
      </c>
      <c r="G53" s="1173"/>
      <c r="H53" s="1174"/>
      <c r="I53" s="1172" t="str">
        <f>IF(F53="","",F53*L$48)</f>
        <v/>
      </c>
      <c r="J53" s="1175"/>
      <c r="K53" s="1176"/>
      <c r="L53" s="1177" t="str">
        <f>IF(A53="","",A53)</f>
        <v/>
      </c>
      <c r="M53" s="1178"/>
      <c r="N53" s="1179"/>
      <c r="O53" s="1180" t="str">
        <f>IF(Data!L131="","",Data!L131)</f>
        <v/>
      </c>
      <c r="P53" s="1181"/>
      <c r="Q53" s="1182" t="str">
        <f>IF(Data!N131="","",Data!N131)</f>
        <v/>
      </c>
      <c r="R53" s="1182"/>
      <c r="S53" s="1182"/>
      <c r="T53" s="1182" t="str">
        <f>IF(Q53="","",Q53*L$48)</f>
        <v/>
      </c>
      <c r="U53" s="1182"/>
      <c r="V53" s="1183"/>
    </row>
    <row r="54" spans="1:22" ht="13.5" customHeight="1" thickBot="1">
      <c r="A54" s="1184" t="s">
        <v>191</v>
      </c>
      <c r="B54" s="1184"/>
      <c r="F54" s="1064"/>
      <c r="G54" s="1064"/>
      <c r="H54" s="1064"/>
      <c r="I54" s="1119">
        <f>IF(I50="","",SUM(I50:I53))</f>
        <v>12</v>
      </c>
      <c r="J54" s="1185"/>
      <c r="K54" s="1186"/>
      <c r="L54" s="1187"/>
      <c r="M54" s="1188"/>
      <c r="Q54" s="1064"/>
      <c r="R54" s="1064"/>
      <c r="S54" s="1064"/>
      <c r="T54" s="1119">
        <f>IF(T50="","",SUM(T50:T53))</f>
        <v>11</v>
      </c>
      <c r="U54" s="1185"/>
      <c r="V54" s="1186"/>
    </row>
    <row r="55" spans="1:22" ht="6.75" customHeight="1"/>
    <row r="56" spans="1:22" ht="15" thickBot="1">
      <c r="A56" s="1070" t="s">
        <v>176</v>
      </c>
    </row>
    <row r="57" spans="1:22">
      <c r="A57" s="1189" t="s">
        <v>20</v>
      </c>
      <c r="B57" s="1190"/>
      <c r="C57" s="1190"/>
      <c r="D57" s="1190"/>
      <c r="E57" s="1190"/>
      <c r="F57" s="1190"/>
      <c r="G57" s="1190"/>
      <c r="H57" s="1191"/>
      <c r="I57" s="1192">
        <f>IF(Data!H135="","",Data!H135)</f>
        <v>11</v>
      </c>
      <c r="J57" s="1193"/>
      <c r="K57" s="1194"/>
      <c r="L57" s="1195">
        <f>IF(Data!N135="","",Data!N135)</f>
        <v>11</v>
      </c>
      <c r="M57" s="1195"/>
      <c r="N57" s="1195"/>
      <c r="O57" s="1196"/>
    </row>
    <row r="58" spans="1:22">
      <c r="A58" s="1151" t="s">
        <v>21</v>
      </c>
      <c r="B58" s="1049"/>
      <c r="C58" s="1049"/>
      <c r="D58" s="1049"/>
      <c r="E58" s="1049"/>
      <c r="F58" s="1049"/>
      <c r="G58" s="1049"/>
      <c r="H58" s="1050"/>
      <c r="I58" s="1154">
        <f>IF(Data!H136="","",Data!H136)</f>
        <v>23</v>
      </c>
      <c r="J58" s="1004"/>
      <c r="K58" s="1157"/>
      <c r="L58" s="1197">
        <f>IF(Data!N136="","",Data!N136)</f>
        <v>23</v>
      </c>
      <c r="M58" s="1197"/>
      <c r="N58" s="1197"/>
      <c r="O58" s="1198"/>
    </row>
    <row r="59" spans="1:22" ht="15" thickBot="1">
      <c r="A59" s="1199" t="s">
        <v>22</v>
      </c>
      <c r="B59" s="1058"/>
      <c r="C59" s="1058"/>
      <c r="D59" s="1058"/>
      <c r="E59" s="1058"/>
      <c r="F59" s="1058"/>
      <c r="G59" s="1058"/>
      <c r="H59" s="1059"/>
      <c r="I59" s="1172">
        <f>IF(Data!H137="","",Data!H137)</f>
        <v>0</v>
      </c>
      <c r="J59" s="1175"/>
      <c r="K59" s="1176"/>
      <c r="L59" s="1200">
        <f>IF(Data!N137="","",Data!N137)</f>
        <v>0</v>
      </c>
      <c r="M59" s="1200"/>
      <c r="N59" s="1200"/>
      <c r="O59" s="1201"/>
    </row>
    <row r="60" spans="1:22" ht="15" thickBot="1">
      <c r="A60" s="1202" t="s">
        <v>23</v>
      </c>
      <c r="B60" s="1203"/>
      <c r="C60" s="1203"/>
      <c r="D60" s="1203"/>
      <c r="E60" s="1203"/>
      <c r="F60" s="1203"/>
      <c r="G60" s="1203"/>
      <c r="H60" s="1204"/>
      <c r="I60" s="1205">
        <f>IF(I57="","",SUM(I57:I59))</f>
        <v>34</v>
      </c>
      <c r="J60" s="1206"/>
      <c r="K60" s="1207"/>
      <c r="L60" s="1208">
        <f>IF(L57="","",SUM(L57:M59))</f>
        <v>34</v>
      </c>
      <c r="M60" s="1208"/>
      <c r="N60" s="1208"/>
      <c r="O60" s="1209"/>
    </row>
    <row r="61" spans="1:22">
      <c r="A61" s="1210" t="s">
        <v>196</v>
      </c>
    </row>
    <row r="62" spans="1:22" ht="8.25" customHeight="1"/>
    <row r="63" spans="1:22">
      <c r="C63" s="1211" t="s">
        <v>527</v>
      </c>
      <c r="I63" s="1212"/>
      <c r="U63" s="1213" t="s">
        <v>197</v>
      </c>
    </row>
    <row r="64" spans="1:22" ht="10.5" customHeight="1"/>
    <row r="65" spans="1:120" ht="10.5" customHeight="1"/>
    <row r="66" spans="1:120" ht="12" customHeight="1"/>
    <row r="67" spans="1:120" ht="11.25" customHeight="1">
      <c r="A67" s="1214"/>
      <c r="E67" s="1215"/>
      <c r="F67" s="1215"/>
      <c r="G67" s="1216"/>
      <c r="H67" s="1216"/>
    </row>
    <row r="68" spans="1:120" ht="11.25" customHeight="1">
      <c r="A68" s="1217"/>
      <c r="E68" s="1215"/>
      <c r="F68" s="1215"/>
      <c r="G68" s="1216"/>
      <c r="H68" s="1216"/>
    </row>
    <row r="69" spans="1:120" customFormat="1" ht="11.25" customHeight="1">
      <c r="A69" s="1217"/>
      <c r="B69" s="87"/>
      <c r="C69" s="126"/>
      <c r="D69" s="1218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  <c r="CI69" s="87"/>
      <c r="CJ69" s="87"/>
      <c r="CK69" s="87"/>
      <c r="CL69" s="87"/>
      <c r="CM69" s="87"/>
      <c r="CN69" s="87"/>
      <c r="CO69" s="87"/>
      <c r="CP69" s="87"/>
      <c r="CQ69" s="87"/>
      <c r="CR69" s="87"/>
      <c r="CS69" s="87"/>
      <c r="CT69" s="87"/>
      <c r="CU69" s="87"/>
      <c r="CV69" s="87"/>
      <c r="CW69" s="87"/>
      <c r="CX69" s="87"/>
      <c r="CY69" s="87"/>
      <c r="CZ69" s="87"/>
      <c r="DA69" s="87"/>
      <c r="DB69" s="87"/>
      <c r="DC69" s="87"/>
      <c r="DD69" s="87"/>
      <c r="DE69" s="87"/>
      <c r="DF69" s="87"/>
      <c r="DG69" s="87"/>
      <c r="DH69" s="87"/>
      <c r="DI69" s="87"/>
      <c r="DJ69" s="87"/>
      <c r="DK69" s="87"/>
      <c r="DL69" s="87"/>
      <c r="DM69" s="87"/>
      <c r="DN69" s="87"/>
      <c r="DO69" s="87"/>
      <c r="DP69" s="87"/>
    </row>
    <row r="70" spans="1:120" customFormat="1" ht="9.75" customHeight="1">
      <c r="A70" s="1218"/>
      <c r="B70" s="87"/>
      <c r="C70" s="87"/>
      <c r="D70" s="87"/>
      <c r="E70" s="87"/>
      <c r="F70" s="1218"/>
      <c r="G70" s="87"/>
      <c r="H70" s="87"/>
      <c r="I70" s="87"/>
      <c r="J70" s="87"/>
      <c r="K70" s="87"/>
      <c r="L70" s="126"/>
      <c r="M70" s="1218"/>
      <c r="N70" s="87"/>
      <c r="O70" s="87"/>
      <c r="P70" s="1219"/>
      <c r="Q70" s="1218"/>
      <c r="R70" s="1218"/>
      <c r="S70" s="1218"/>
      <c r="T70" s="1218"/>
      <c r="U70" s="1218"/>
      <c r="V70" s="1218"/>
      <c r="W70" s="1218"/>
      <c r="X70" s="1218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/>
      <c r="AW70" s="87"/>
      <c r="AX70" s="87"/>
      <c r="AY70" s="87"/>
      <c r="AZ70" s="87"/>
      <c r="BA70" s="87"/>
      <c r="BB70" s="87"/>
      <c r="BC70" s="87"/>
      <c r="BD70" s="87"/>
      <c r="BE70" s="87"/>
      <c r="BF70" s="87"/>
      <c r="BG70" s="87"/>
      <c r="BH70" s="87"/>
      <c r="BI70" s="87"/>
      <c r="BJ70" s="87"/>
      <c r="BK70" s="87"/>
      <c r="BL70" s="87"/>
      <c r="BM70" s="87"/>
      <c r="BN70" s="87"/>
      <c r="BO70" s="87"/>
      <c r="BP70" s="87"/>
      <c r="BQ70" s="87"/>
      <c r="BR70" s="87"/>
      <c r="BS70" s="87"/>
      <c r="BT70" s="87"/>
      <c r="BU70" s="87"/>
      <c r="BV70" s="87"/>
      <c r="BW70" s="87"/>
      <c r="BX70" s="87"/>
      <c r="BY70" s="87"/>
      <c r="BZ70" s="87"/>
      <c r="CA70" s="87"/>
      <c r="CB70" s="87"/>
      <c r="CC70" s="87"/>
      <c r="CD70" s="87"/>
      <c r="CE70" s="87"/>
      <c r="CF70" s="87"/>
      <c r="CG70" s="87"/>
      <c r="CH70" s="87"/>
      <c r="CI70" s="87"/>
      <c r="CJ70" s="87"/>
      <c r="CK70" s="87"/>
      <c r="CL70" s="87"/>
      <c r="CM70" s="87"/>
      <c r="CN70" s="87"/>
      <c r="CO70" s="87"/>
      <c r="CP70" s="87"/>
      <c r="CQ70" s="87"/>
      <c r="CR70" s="87"/>
      <c r="CS70" s="87"/>
      <c r="CT70" s="87"/>
      <c r="CU70" s="87"/>
      <c r="CV70" s="87"/>
      <c r="CW70" s="87"/>
      <c r="CX70" s="87"/>
      <c r="CY70" s="87"/>
      <c r="CZ70" s="87"/>
      <c r="DA70" s="87"/>
      <c r="DB70" s="87"/>
      <c r="DC70" s="87"/>
      <c r="DD70" s="87"/>
      <c r="DE70" s="87"/>
      <c r="DF70" s="87"/>
      <c r="DG70" s="87"/>
      <c r="DH70" s="87"/>
      <c r="DI70" s="87"/>
      <c r="DJ70" s="87"/>
      <c r="DK70" s="87"/>
      <c r="DL70" s="87"/>
      <c r="DM70" s="87"/>
      <c r="DN70" s="87"/>
      <c r="DO70" s="87"/>
      <c r="DP70" s="87"/>
    </row>
    <row r="71" spans="1:120" customFormat="1" ht="8.25" customHeight="1">
      <c r="A71" s="1218"/>
      <c r="B71" s="87"/>
      <c r="C71" s="87"/>
      <c r="D71" s="1220"/>
      <c r="E71" s="1220"/>
      <c r="F71" s="87"/>
      <c r="G71" s="87"/>
      <c r="H71" s="87"/>
      <c r="I71" s="87"/>
      <c r="J71" s="87"/>
      <c r="K71" s="87"/>
      <c r="L71" s="87"/>
      <c r="M71" s="1219"/>
      <c r="N71" s="87"/>
      <c r="O71" s="87"/>
      <c r="P71" s="1218"/>
      <c r="Q71" s="1218"/>
      <c r="R71" s="1218"/>
      <c r="S71" s="1218"/>
      <c r="T71" s="1218"/>
      <c r="U71" s="1218"/>
      <c r="V71" s="1218"/>
      <c r="W71" s="1218"/>
      <c r="X71" s="1218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</row>
    <row r="72" spans="1:120">
      <c r="L72" s="126"/>
    </row>
  </sheetData>
  <sheetProtection algorithmName="SHA-512" hashValue="48JFy53ZsLRlmlDW7EnQRIZrwruNajokvA8SXkQKxJaVInvoAc0Ash4QW9hDgutGEzmOA4gyObGjXs8z5n3gVw==" saltValue="//1aUWRDMYBa2BF7B9MeIw==" spinCount="100000" sheet="1" objects="1" scenarios="1"/>
  <protectedRanges>
    <protectedRange password="E509" sqref="N48 K48:L48" name="Plage5_1"/>
    <protectedRange password="E509" sqref="I57:I59 A57:B59 L57:L59" name="Plage4_1"/>
    <protectedRange password="E509" sqref="T50:T53 F50:F53 I50:I53 L50:L53 Q50:Q53" name="Plage3_1"/>
    <protectedRange password="E509" sqref="O50:O53 O16:O45 Q16:Q45 S16:S45" name="Plage2_1"/>
    <protectedRange password="E509" sqref="A50:A53 D50:D53 F16:F45 H16:H45 D16:D45 A16:A45" name="Plage1_6"/>
    <protectedRange password="E509" sqref="K9:L9" name="Plage1_1_1"/>
    <protectedRange password="E509" sqref="K7:K8 T7:U8 T6 S4:V5 N7:N8 K4:K5 N4:O5 O6:O8" name="Plage1_2_1"/>
    <protectedRange password="E509" sqref="K6" name="Plage1_3_1"/>
    <protectedRange password="E509" sqref="V10" name="Plage1_4_1"/>
    <protectedRange password="E509" sqref="H10 J10:P10" name="Plage1_5_1"/>
  </protectedRanges>
  <mergeCells count="389">
    <mergeCell ref="A60:H60"/>
    <mergeCell ref="I60:K60"/>
    <mergeCell ref="L60:O60"/>
    <mergeCell ref="A58:H58"/>
    <mergeCell ref="I58:K58"/>
    <mergeCell ref="L58:O58"/>
    <mergeCell ref="A59:H59"/>
    <mergeCell ref="I59:K59"/>
    <mergeCell ref="L59:O59"/>
    <mergeCell ref="A54:B54"/>
    <mergeCell ref="I54:K54"/>
    <mergeCell ref="L54:M54"/>
    <mergeCell ref="T54:V54"/>
    <mergeCell ref="A57:H57"/>
    <mergeCell ref="I57:K57"/>
    <mergeCell ref="L57:O57"/>
    <mergeCell ref="Q52:S52"/>
    <mergeCell ref="T52:V52"/>
    <mergeCell ref="A53:C53"/>
    <mergeCell ref="D53:E53"/>
    <mergeCell ref="F53:H53"/>
    <mergeCell ref="I53:K53"/>
    <mergeCell ref="L53:N53"/>
    <mergeCell ref="O53:P53"/>
    <mergeCell ref="Q53:S53"/>
    <mergeCell ref="T53:V53"/>
    <mergeCell ref="A52:C52"/>
    <mergeCell ref="D52:E52"/>
    <mergeCell ref="F52:H52"/>
    <mergeCell ref="I52:K52"/>
    <mergeCell ref="L52:N52"/>
    <mergeCell ref="O52:P52"/>
    <mergeCell ref="A50:C50"/>
    <mergeCell ref="D50:E50"/>
    <mergeCell ref="F50:H50"/>
    <mergeCell ref="I50:K50"/>
    <mergeCell ref="L50:N50"/>
    <mergeCell ref="O50:P50"/>
    <mergeCell ref="Q50:S50"/>
    <mergeCell ref="T50:V50"/>
    <mergeCell ref="A51:C51"/>
    <mergeCell ref="D51:E51"/>
    <mergeCell ref="F51:H51"/>
    <mergeCell ref="I51:K51"/>
    <mergeCell ref="L51:N51"/>
    <mergeCell ref="O51:P51"/>
    <mergeCell ref="Q51:S51"/>
    <mergeCell ref="T51:V51"/>
    <mergeCell ref="L48:M48"/>
    <mergeCell ref="A49:C49"/>
    <mergeCell ref="D49:E49"/>
    <mergeCell ref="F49:H49"/>
    <mergeCell ref="I49:K49"/>
    <mergeCell ref="L49:N49"/>
    <mergeCell ref="O45:P45"/>
    <mergeCell ref="Q45:R45"/>
    <mergeCell ref="S45:T45"/>
    <mergeCell ref="A45:C45"/>
    <mergeCell ref="D45:E45"/>
    <mergeCell ref="O49:P49"/>
    <mergeCell ref="Q49:S49"/>
    <mergeCell ref="T49:V49"/>
    <mergeCell ref="U43:V43"/>
    <mergeCell ref="A44:C44"/>
    <mergeCell ref="D44:E44"/>
    <mergeCell ref="F44:G44"/>
    <mergeCell ref="H44:I44"/>
    <mergeCell ref="J44:K44"/>
    <mergeCell ref="L44:N44"/>
    <mergeCell ref="U45:V45"/>
    <mergeCell ref="F46:G46"/>
    <mergeCell ref="J46:K46"/>
    <mergeCell ref="Q46:R46"/>
    <mergeCell ref="U46:V46"/>
    <mergeCell ref="O44:P44"/>
    <mergeCell ref="Q44:R44"/>
    <mergeCell ref="S44:T44"/>
    <mergeCell ref="U44:V44"/>
    <mergeCell ref="F45:G45"/>
    <mergeCell ref="H45:I45"/>
    <mergeCell ref="J45:K45"/>
    <mergeCell ref="L45:N45"/>
    <mergeCell ref="A43:C43"/>
    <mergeCell ref="D43:E43"/>
    <mergeCell ref="F43:G43"/>
    <mergeCell ref="H43:I43"/>
    <mergeCell ref="J43:K43"/>
    <mergeCell ref="L43:N43"/>
    <mergeCell ref="O43:P43"/>
    <mergeCell ref="Q43:R43"/>
    <mergeCell ref="S43:T43"/>
    <mergeCell ref="U41:V41"/>
    <mergeCell ref="A42:C42"/>
    <mergeCell ref="D42:E42"/>
    <mergeCell ref="F42:G42"/>
    <mergeCell ref="H42:I42"/>
    <mergeCell ref="J42:K42"/>
    <mergeCell ref="L42:N42"/>
    <mergeCell ref="O42:P42"/>
    <mergeCell ref="Q42:R42"/>
    <mergeCell ref="S42:T42"/>
    <mergeCell ref="U42:V42"/>
    <mergeCell ref="A41:C41"/>
    <mergeCell ref="D41:E41"/>
    <mergeCell ref="F41:G41"/>
    <mergeCell ref="H41:I41"/>
    <mergeCell ref="J41:K41"/>
    <mergeCell ref="L41:N41"/>
    <mergeCell ref="O41:P41"/>
    <mergeCell ref="Q41:R41"/>
    <mergeCell ref="S41:T41"/>
    <mergeCell ref="U39:V39"/>
    <mergeCell ref="A40:C40"/>
    <mergeCell ref="D40:E40"/>
    <mergeCell ref="F40:G40"/>
    <mergeCell ref="H40:I40"/>
    <mergeCell ref="J40:K40"/>
    <mergeCell ref="L40:N40"/>
    <mergeCell ref="O40:P40"/>
    <mergeCell ref="Q40:R40"/>
    <mergeCell ref="S40:T40"/>
    <mergeCell ref="U40:V40"/>
    <mergeCell ref="A39:C39"/>
    <mergeCell ref="D39:E39"/>
    <mergeCell ref="F39:G39"/>
    <mergeCell ref="H39:I39"/>
    <mergeCell ref="J39:K39"/>
    <mergeCell ref="L39:N39"/>
    <mergeCell ref="O39:P39"/>
    <mergeCell ref="Q39:R39"/>
    <mergeCell ref="S39:T39"/>
    <mergeCell ref="U37:V37"/>
    <mergeCell ref="A38:C38"/>
    <mergeCell ref="D38:E38"/>
    <mergeCell ref="F38:G38"/>
    <mergeCell ref="H38:I38"/>
    <mergeCell ref="J38:K38"/>
    <mergeCell ref="L38:N38"/>
    <mergeCell ref="O38:P38"/>
    <mergeCell ref="Q38:R38"/>
    <mergeCell ref="S38:T38"/>
    <mergeCell ref="U38:V38"/>
    <mergeCell ref="A37:C37"/>
    <mergeCell ref="D37:E37"/>
    <mergeCell ref="F37:G37"/>
    <mergeCell ref="H37:I37"/>
    <mergeCell ref="J37:K37"/>
    <mergeCell ref="L37:N37"/>
    <mergeCell ref="O37:P37"/>
    <mergeCell ref="Q37:R37"/>
    <mergeCell ref="S37:T37"/>
    <mergeCell ref="U35:V35"/>
    <mergeCell ref="A36:C36"/>
    <mergeCell ref="D36:E36"/>
    <mergeCell ref="F36:G36"/>
    <mergeCell ref="H36:I36"/>
    <mergeCell ref="J36:K36"/>
    <mergeCell ref="L36:N36"/>
    <mergeCell ref="O36:P36"/>
    <mergeCell ref="Q36:R36"/>
    <mergeCell ref="S36:T36"/>
    <mergeCell ref="U36:V36"/>
    <mergeCell ref="A35:C35"/>
    <mergeCell ref="D35:E35"/>
    <mergeCell ref="F35:G35"/>
    <mergeCell ref="H35:I35"/>
    <mergeCell ref="J35:K35"/>
    <mergeCell ref="L35:N35"/>
    <mergeCell ref="O35:P35"/>
    <mergeCell ref="Q35:R35"/>
    <mergeCell ref="S35:T35"/>
    <mergeCell ref="U33:V33"/>
    <mergeCell ref="A34:C34"/>
    <mergeCell ref="D34:E34"/>
    <mergeCell ref="F34:G34"/>
    <mergeCell ref="H34:I34"/>
    <mergeCell ref="J34:K34"/>
    <mergeCell ref="L34:N34"/>
    <mergeCell ref="O34:P34"/>
    <mergeCell ref="Q34:R34"/>
    <mergeCell ref="S34:T34"/>
    <mergeCell ref="U34:V34"/>
    <mergeCell ref="A33:C33"/>
    <mergeCell ref="D33:E33"/>
    <mergeCell ref="F33:G33"/>
    <mergeCell ref="H33:I33"/>
    <mergeCell ref="J33:K33"/>
    <mergeCell ref="L33:N33"/>
    <mergeCell ref="O33:P33"/>
    <mergeCell ref="Q33:R33"/>
    <mergeCell ref="S33:T33"/>
    <mergeCell ref="U31:V31"/>
    <mergeCell ref="A32:C32"/>
    <mergeCell ref="D32:E32"/>
    <mergeCell ref="F32:G32"/>
    <mergeCell ref="H32:I32"/>
    <mergeCell ref="J32:K32"/>
    <mergeCell ref="L32:N32"/>
    <mergeCell ref="O32:P32"/>
    <mergeCell ref="Q32:R32"/>
    <mergeCell ref="S32:T32"/>
    <mergeCell ref="U32:V32"/>
    <mergeCell ref="A31:C31"/>
    <mergeCell ref="D31:E31"/>
    <mergeCell ref="F31:G31"/>
    <mergeCell ref="H31:I31"/>
    <mergeCell ref="J31:K31"/>
    <mergeCell ref="L31:N31"/>
    <mergeCell ref="O31:P31"/>
    <mergeCell ref="Q31:R31"/>
    <mergeCell ref="S31:T31"/>
    <mergeCell ref="U29:V29"/>
    <mergeCell ref="A30:C30"/>
    <mergeCell ref="D30:E30"/>
    <mergeCell ref="F30:G30"/>
    <mergeCell ref="H30:I30"/>
    <mergeCell ref="J30:K30"/>
    <mergeCell ref="L30:N30"/>
    <mergeCell ref="O30:P30"/>
    <mergeCell ref="Q30:R30"/>
    <mergeCell ref="S30:T30"/>
    <mergeCell ref="U30:V30"/>
    <mergeCell ref="A29:C29"/>
    <mergeCell ref="D29:E29"/>
    <mergeCell ref="F29:G29"/>
    <mergeCell ref="H29:I29"/>
    <mergeCell ref="J29:K29"/>
    <mergeCell ref="L29:N29"/>
    <mergeCell ref="O29:P29"/>
    <mergeCell ref="Q29:R29"/>
    <mergeCell ref="S29:T29"/>
    <mergeCell ref="U27:V27"/>
    <mergeCell ref="A28:C28"/>
    <mergeCell ref="D28:E28"/>
    <mergeCell ref="F28:G28"/>
    <mergeCell ref="H28:I28"/>
    <mergeCell ref="J28:K28"/>
    <mergeCell ref="L28:N28"/>
    <mergeCell ref="O28:P28"/>
    <mergeCell ref="Q28:R28"/>
    <mergeCell ref="S28:T28"/>
    <mergeCell ref="U28:V28"/>
    <mergeCell ref="A27:C27"/>
    <mergeCell ref="D27:E27"/>
    <mergeCell ref="F27:G27"/>
    <mergeCell ref="H27:I27"/>
    <mergeCell ref="J27:K27"/>
    <mergeCell ref="L27:N27"/>
    <mergeCell ref="O27:P27"/>
    <mergeCell ref="Q27:R27"/>
    <mergeCell ref="S27:T27"/>
    <mergeCell ref="U25:V25"/>
    <mergeCell ref="A26:C26"/>
    <mergeCell ref="D26:E26"/>
    <mergeCell ref="F26:G26"/>
    <mergeCell ref="H26:I26"/>
    <mergeCell ref="J26:K26"/>
    <mergeCell ref="L26:N26"/>
    <mergeCell ref="O26:P26"/>
    <mergeCell ref="Q26:R26"/>
    <mergeCell ref="S26:T26"/>
    <mergeCell ref="U26:V26"/>
    <mergeCell ref="A25:C25"/>
    <mergeCell ref="D25:E25"/>
    <mergeCell ref="F25:G25"/>
    <mergeCell ref="H25:I25"/>
    <mergeCell ref="J25:K25"/>
    <mergeCell ref="L25:N25"/>
    <mergeCell ref="O25:P25"/>
    <mergeCell ref="Q25:R25"/>
    <mergeCell ref="S25:T25"/>
    <mergeCell ref="U23:V23"/>
    <mergeCell ref="A24:C24"/>
    <mergeCell ref="D24:E24"/>
    <mergeCell ref="F24:G24"/>
    <mergeCell ref="H24:I24"/>
    <mergeCell ref="J24:K24"/>
    <mergeCell ref="L24:N24"/>
    <mergeCell ref="O24:P24"/>
    <mergeCell ref="Q24:R24"/>
    <mergeCell ref="S24:T24"/>
    <mergeCell ref="U24:V24"/>
    <mergeCell ref="A23:C23"/>
    <mergeCell ref="D23:E23"/>
    <mergeCell ref="F23:G23"/>
    <mergeCell ref="H23:I23"/>
    <mergeCell ref="J23:K23"/>
    <mergeCell ref="L23:N23"/>
    <mergeCell ref="O23:P23"/>
    <mergeCell ref="Q23:R23"/>
    <mergeCell ref="S23:T23"/>
    <mergeCell ref="U21:V21"/>
    <mergeCell ref="A22:C22"/>
    <mergeCell ref="D22:E22"/>
    <mergeCell ref="F22:G22"/>
    <mergeCell ref="H22:I22"/>
    <mergeCell ref="J22:K22"/>
    <mergeCell ref="L22:N22"/>
    <mergeCell ref="O22:P22"/>
    <mergeCell ref="Q22:R22"/>
    <mergeCell ref="S22:T22"/>
    <mergeCell ref="U22:V22"/>
    <mergeCell ref="A21:C21"/>
    <mergeCell ref="D21:E21"/>
    <mergeCell ref="F21:G21"/>
    <mergeCell ref="H21:I21"/>
    <mergeCell ref="J21:K21"/>
    <mergeCell ref="L21:N21"/>
    <mergeCell ref="O21:P21"/>
    <mergeCell ref="Q21:R21"/>
    <mergeCell ref="S21:T21"/>
    <mergeCell ref="U19:V19"/>
    <mergeCell ref="A20:C20"/>
    <mergeCell ref="D20:E20"/>
    <mergeCell ref="F20:G20"/>
    <mergeCell ref="H20:I20"/>
    <mergeCell ref="J20:K20"/>
    <mergeCell ref="L20:N20"/>
    <mergeCell ref="O20:P20"/>
    <mergeCell ref="Q20:R20"/>
    <mergeCell ref="S20:T20"/>
    <mergeCell ref="U20:V20"/>
    <mergeCell ref="A19:C19"/>
    <mergeCell ref="D19:E19"/>
    <mergeCell ref="F19:G19"/>
    <mergeCell ref="H19:I19"/>
    <mergeCell ref="J19:K19"/>
    <mergeCell ref="L19:N19"/>
    <mergeCell ref="O19:P19"/>
    <mergeCell ref="Q19:R19"/>
    <mergeCell ref="S19:T19"/>
    <mergeCell ref="U17:V17"/>
    <mergeCell ref="A18:C18"/>
    <mergeCell ref="D18:E18"/>
    <mergeCell ref="F18:G18"/>
    <mergeCell ref="H18:I18"/>
    <mergeCell ref="J18:K18"/>
    <mergeCell ref="L18:N18"/>
    <mergeCell ref="O18:P18"/>
    <mergeCell ref="Q18:R18"/>
    <mergeCell ref="S18:T18"/>
    <mergeCell ref="U18:V18"/>
    <mergeCell ref="A17:C17"/>
    <mergeCell ref="D17:E17"/>
    <mergeCell ref="F17:G17"/>
    <mergeCell ref="H17:I17"/>
    <mergeCell ref="J17:K17"/>
    <mergeCell ref="L17:N17"/>
    <mergeCell ref="O17:P17"/>
    <mergeCell ref="Q17:R17"/>
    <mergeCell ref="S17:T17"/>
    <mergeCell ref="O15:P15"/>
    <mergeCell ref="Q15:R15"/>
    <mergeCell ref="S15:T15"/>
    <mergeCell ref="U15:V15"/>
    <mergeCell ref="A16:C16"/>
    <mergeCell ref="D16:E16"/>
    <mergeCell ref="F16:G16"/>
    <mergeCell ref="H16:I16"/>
    <mergeCell ref="J16:K16"/>
    <mergeCell ref="L16:N16"/>
    <mergeCell ref="A15:C15"/>
    <mergeCell ref="D15:E15"/>
    <mergeCell ref="F15:G15"/>
    <mergeCell ref="H15:I15"/>
    <mergeCell ref="J15:K15"/>
    <mergeCell ref="L15:N15"/>
    <mergeCell ref="O16:P16"/>
    <mergeCell ref="Q16:R16"/>
    <mergeCell ref="S16:T16"/>
    <mergeCell ref="U16:V16"/>
    <mergeCell ref="H11:P11"/>
    <mergeCell ref="A13:K13"/>
    <mergeCell ref="L13:V13"/>
    <mergeCell ref="K6:N6"/>
    <mergeCell ref="O6:Q6"/>
    <mergeCell ref="R6:S6"/>
    <mergeCell ref="T6:V6"/>
    <mergeCell ref="K7:N7"/>
    <mergeCell ref="O7:V7"/>
    <mergeCell ref="P2:S2"/>
    <mergeCell ref="U2:V2"/>
    <mergeCell ref="K4:N4"/>
    <mergeCell ref="O4:V4"/>
    <mergeCell ref="K5:N5"/>
    <mergeCell ref="O5:V5"/>
    <mergeCell ref="K8:N8"/>
    <mergeCell ref="O8:V8"/>
    <mergeCell ref="H10:P10"/>
  </mergeCells>
  <printOptions horizontalCentered="1" verticalCentered="1"/>
  <pageMargins left="0" right="0" top="0" bottom="0" header="0" footer="0"/>
  <pageSetup paperSize="9" scale="80" orientation="portrait" r:id="rId1"/>
  <ignoredErrors>
    <ignoredError sqref="A16:V36 A37:V46 A50:V55 I57:P60 K6:V6 L4:V4 L5:V5 L8:V8 L7:V7" unlocked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42F64C-6FDD-4A64-AEAB-619DD1B4D3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6</vt:i4>
      </vt:variant>
    </vt:vector>
  </HeadingPairs>
  <TitlesOfParts>
    <vt:vector size="7" baseType="lpstr">
      <vt:lpstr>Data</vt:lpstr>
      <vt:lpstr>TabFinalBallast</vt:lpstr>
      <vt:lpstr>TabInitialBallast</vt:lpstr>
      <vt:lpstr>Vessels</vt:lpstr>
      <vt:lpstr>Deductibles!Zone_d_impression</vt:lpstr>
      <vt:lpstr>Details!Zone_d_impression</vt:lpstr>
      <vt:lpstr>DS_REPORT!Zone_d_impression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Garroum</dc:creator>
  <cp:lastModifiedBy>Hicham Garoum</cp:lastModifiedBy>
  <cp:lastPrinted>2023-08-29T21:54:38Z</cp:lastPrinted>
  <dcterms:created xsi:type="dcterms:W3CDTF">2015-06-05T18:17:20Z</dcterms:created>
  <dcterms:modified xsi:type="dcterms:W3CDTF">2023-08-29T22:16:24Z</dcterms:modified>
</cp:coreProperties>
</file>