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icham_garroum\Desktop\VBAfiles\VBA_FILES\SurveyotMate\DS_USERFORM\"/>
    </mc:Choice>
  </mc:AlternateContent>
  <xr:revisionPtr revIDLastSave="0" documentId="13_ncr:1_{9A9A1DA9-F9B0-404E-8BC9-06E442524B0C}" xr6:coauthVersionLast="45" xr6:coauthVersionMax="45" xr10:uidLastSave="{00000000-0000-0000-0000-000000000000}"/>
  <bookViews>
    <workbookView showSheetTabs="0" xWindow="-110" yWindow="-110" windowWidth="19420" windowHeight="11020" firstSheet="1" xr2:uid="{00000000-000D-0000-FFFF-FFFF00000000}"/>
  </bookViews>
  <sheets>
    <sheet name="Input" sheetId="1" r:id="rId1"/>
    <sheet name="HydroTable" sheetId="2" r:id="rId2"/>
    <sheet name="DSReport" sheetId="3" r:id="rId3"/>
    <sheet name="Deductibles" sheetId="4" r:id="rId4"/>
    <sheet name="Details" sheetId="5" r:id="rId5"/>
    <sheet name="Trimming" sheetId="6" r:id="rId6"/>
    <sheet name="Feuil1" sheetId="9" r:id="rId7"/>
    <sheet name="TrimmingTab" sheetId="8" r:id="rId8"/>
    <sheet name="DWA" sheetId="7" r:id="rId9"/>
  </sheets>
  <externalReferences>
    <externalReference r:id="rId10"/>
  </externalReferences>
  <definedNames>
    <definedName name="_xlnm.Print_Area" localSheetId="4">Details!$A$1:$R$61</definedName>
    <definedName name="_xlnm.Print_Area" localSheetId="2">DSReport!$A$1:$Z$72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47" i="5" l="1"/>
  <c r="I47" i="5"/>
  <c r="G19" i="3" l="1"/>
  <c r="N12" i="3" l="1"/>
  <c r="O4" i="4"/>
  <c r="O5" i="4"/>
  <c r="O6" i="4"/>
  <c r="R6" i="4"/>
  <c r="T6" i="4"/>
  <c r="O7" i="4"/>
  <c r="O8" i="4"/>
  <c r="J16" i="4"/>
  <c r="L16" i="4"/>
  <c r="U16" i="4"/>
  <c r="J17" i="4"/>
  <c r="L17" i="4"/>
  <c r="U17" i="4"/>
  <c r="J18" i="4"/>
  <c r="L18" i="4"/>
  <c r="U18" i="4"/>
  <c r="J19" i="4"/>
  <c r="L19" i="4"/>
  <c r="U19" i="4"/>
  <c r="J20" i="4"/>
  <c r="L20" i="4"/>
  <c r="U20" i="4"/>
  <c r="J21" i="4"/>
  <c r="L21" i="4"/>
  <c r="U21" i="4"/>
  <c r="J22" i="4"/>
  <c r="L22" i="4"/>
  <c r="U22" i="4"/>
  <c r="J23" i="4"/>
  <c r="L23" i="4"/>
  <c r="U23" i="4"/>
  <c r="J24" i="4"/>
  <c r="L24" i="4"/>
  <c r="U24" i="4"/>
  <c r="J25" i="4"/>
  <c r="L25" i="4"/>
  <c r="U25" i="4"/>
  <c r="J26" i="4"/>
  <c r="L26" i="4"/>
  <c r="U26" i="4"/>
  <c r="J27" i="4"/>
  <c r="L27" i="4"/>
  <c r="U27" i="4"/>
  <c r="J28" i="4"/>
  <c r="L28" i="4"/>
  <c r="U28" i="4"/>
  <c r="J29" i="4"/>
  <c r="L29" i="4"/>
  <c r="U29" i="4"/>
  <c r="J30" i="4"/>
  <c r="L30" i="4"/>
  <c r="U30" i="4"/>
  <c r="J31" i="4"/>
  <c r="L31" i="4"/>
  <c r="U31" i="4"/>
  <c r="J32" i="4"/>
  <c r="L32" i="4"/>
  <c r="U32" i="4"/>
  <c r="J33" i="4"/>
  <c r="L33" i="4"/>
  <c r="U33" i="4"/>
  <c r="J34" i="4"/>
  <c r="L34" i="4"/>
  <c r="U34" i="4"/>
  <c r="J35" i="4"/>
  <c r="L35" i="4"/>
  <c r="U35" i="4"/>
  <c r="J36" i="4"/>
  <c r="L36" i="4"/>
  <c r="U36" i="4"/>
  <c r="J37" i="4"/>
  <c r="L37" i="4"/>
  <c r="U37" i="4"/>
  <c r="J38" i="4"/>
  <c r="L38" i="4"/>
  <c r="U38" i="4"/>
  <c r="J39" i="4"/>
  <c r="L39" i="4"/>
  <c r="U39" i="4"/>
  <c r="J40" i="4"/>
  <c r="L40" i="4"/>
  <c r="U40" i="4"/>
  <c r="J41" i="4"/>
  <c r="L41" i="4"/>
  <c r="U41" i="4"/>
  <c r="J42" i="4"/>
  <c r="L42" i="4"/>
  <c r="U42" i="4"/>
  <c r="J43" i="4"/>
  <c r="L43" i="4"/>
  <c r="U43" i="4"/>
  <c r="J44" i="4"/>
  <c r="L44" i="4"/>
  <c r="U44" i="4"/>
  <c r="J45" i="4"/>
  <c r="L45" i="4"/>
  <c r="U45" i="4"/>
  <c r="F46" i="4"/>
  <c r="J46" i="4"/>
  <c r="Q46" i="4"/>
  <c r="U46" i="4"/>
  <c r="A50" i="4"/>
  <c r="L50" i="4" s="1"/>
  <c r="I50" i="4"/>
  <c r="T50" i="4"/>
  <c r="A51" i="4"/>
  <c r="L51" i="4" s="1"/>
  <c r="I51" i="4"/>
  <c r="T51" i="4"/>
  <c r="A52" i="4"/>
  <c r="L52" i="4" s="1"/>
  <c r="I52" i="4"/>
  <c r="T52" i="4"/>
  <c r="A53" i="4"/>
  <c r="L53" i="4" s="1"/>
  <c r="I53" i="4"/>
  <c r="Q53" i="4"/>
  <c r="T53" i="4" s="1"/>
  <c r="I54" i="4"/>
  <c r="T54" i="4"/>
  <c r="I60" i="4"/>
  <c r="L60" i="4"/>
  <c r="H3" i="5"/>
  <c r="K3" i="5"/>
  <c r="H4" i="5"/>
  <c r="K4" i="5"/>
  <c r="K5" i="5"/>
  <c r="M5" i="5" s="1"/>
  <c r="O5" i="5"/>
  <c r="H6" i="5"/>
  <c r="K6" i="5"/>
  <c r="H7" i="5"/>
  <c r="K7" i="5"/>
  <c r="I15" i="5"/>
  <c r="K15" i="5" s="1"/>
  <c r="M15" i="5"/>
  <c r="I16" i="5"/>
  <c r="K16" i="5" s="1"/>
  <c r="M16" i="5"/>
  <c r="I17" i="5"/>
  <c r="K17" i="5" s="1"/>
  <c r="M17" i="5"/>
  <c r="I38" i="5"/>
  <c r="M38" i="5"/>
  <c r="I41" i="5"/>
  <c r="M41" i="5"/>
  <c r="I42" i="5"/>
  <c r="M42" i="5"/>
  <c r="I43" i="5"/>
  <c r="M43" i="5"/>
  <c r="I44" i="5"/>
  <c r="M44" i="5"/>
  <c r="C45" i="5"/>
  <c r="O49" i="5"/>
  <c r="R4" i="3"/>
  <c r="R5" i="3"/>
  <c r="R6" i="3"/>
  <c r="T6" i="3" s="1"/>
  <c r="V6" i="3"/>
  <c r="R7" i="3"/>
  <c r="R8" i="3"/>
  <c r="F12" i="3"/>
  <c r="V12" i="3"/>
  <c r="F13" i="3"/>
  <c r="N13" i="3"/>
  <c r="V13" i="3"/>
  <c r="F14" i="3"/>
  <c r="N14" i="3"/>
  <c r="V14" i="3"/>
  <c r="F15" i="3"/>
  <c r="N15" i="3"/>
  <c r="V15" i="3"/>
  <c r="G18" i="3"/>
  <c r="J18" i="3"/>
  <c r="T18" i="3"/>
  <c r="W18" i="3"/>
  <c r="J19" i="3"/>
  <c r="T19" i="3"/>
  <c r="W19" i="3"/>
  <c r="A20" i="3"/>
  <c r="G20" i="3"/>
  <c r="J20" i="3"/>
  <c r="N20" i="3"/>
  <c r="T20" i="3"/>
  <c r="W20" i="3"/>
  <c r="A21" i="3"/>
  <c r="G21" i="3"/>
  <c r="J21" i="3"/>
  <c r="N21" i="3"/>
  <c r="T21" i="3"/>
  <c r="W21" i="3"/>
  <c r="M25" i="3"/>
  <c r="T25" i="3"/>
  <c r="M26" i="3"/>
  <c r="T26" i="3"/>
  <c r="T28" i="3"/>
  <c r="M30" i="3"/>
  <c r="T30" i="3"/>
  <c r="M31" i="3"/>
  <c r="T31" i="3"/>
  <c r="T33" i="3"/>
  <c r="M35" i="3"/>
  <c r="T35" i="3"/>
  <c r="M36" i="3"/>
  <c r="T36" i="3"/>
  <c r="T38" i="3"/>
  <c r="L46" i="3"/>
  <c r="R46" i="3"/>
  <c r="L48" i="3"/>
  <c r="R48" i="3"/>
  <c r="A58" i="3"/>
  <c r="A59" i="3"/>
  <c r="A60" i="3"/>
  <c r="E9" i="7"/>
  <c r="E16" i="7"/>
  <c r="G25" i="7"/>
  <c r="E28" i="7"/>
  <c r="D42" i="7"/>
  <c r="F42" i="7"/>
  <c r="D44" i="7" s="1"/>
  <c r="F2" i="2"/>
  <c r="G2" i="2" s="1"/>
  <c r="A5" i="2"/>
  <c r="A6" i="2"/>
  <c r="A7" i="2"/>
  <c r="A8" i="2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O9" i="1"/>
  <c r="O10" i="1"/>
  <c r="AP25" i="1"/>
  <c r="AT25" i="1"/>
  <c r="H27" i="1"/>
  <c r="AT41" i="1"/>
  <c r="D16" i="6"/>
  <c r="P17" i="6"/>
  <c r="V17" i="6"/>
  <c r="S21" i="6" s="1"/>
  <c r="P18" i="6"/>
  <c r="S18" i="6"/>
  <c r="S22" i="6" s="1"/>
  <c r="P21" i="6"/>
  <c r="P22" i="6"/>
  <c r="C23" i="6"/>
  <c r="C28" i="6"/>
  <c r="E32" i="6"/>
  <c r="O35" i="6"/>
  <c r="O37" i="6" s="1"/>
  <c r="C36" i="6"/>
  <c r="C39" i="6" s="1"/>
  <c r="C57" i="6" s="1"/>
  <c r="O44" i="6"/>
  <c r="C52" i="6"/>
  <c r="Q53" i="6"/>
  <c r="R56" i="6" s="1"/>
  <c r="R57" i="6" s="1"/>
  <c r="Q54" i="6"/>
  <c r="S54" i="6" s="1"/>
  <c r="O60" i="6"/>
  <c r="Q60" i="6"/>
  <c r="E67" i="6"/>
  <c r="C71" i="6"/>
  <c r="D71" i="6"/>
  <c r="E71" i="6"/>
  <c r="C43" i="6" l="1"/>
  <c r="C47" i="6" s="1"/>
  <c r="S53" i="6"/>
  <c r="O64" i="6" s="1"/>
  <c r="T32" i="3"/>
  <c r="T37" i="3"/>
  <c r="M32" i="3"/>
  <c r="I14" i="5" s="1"/>
  <c r="M37" i="3"/>
  <c r="M27" i="3"/>
  <c r="M46" i="5"/>
  <c r="T27" i="3"/>
  <c r="M14" i="5" s="1"/>
  <c r="I46" i="5"/>
  <c r="O67" i="6" l="1"/>
  <c r="M20" i="5"/>
  <c r="T34" i="3" s="1"/>
  <c r="M19" i="5"/>
  <c r="T39" i="3" s="1"/>
  <c r="M22" i="5" s="1"/>
  <c r="M18" i="5"/>
  <c r="T29" i="3" s="1"/>
  <c r="M21" i="5" s="1"/>
  <c r="I18" i="5"/>
  <c r="I19" i="5"/>
  <c r="I20" i="5"/>
  <c r="K14" i="5"/>
  <c r="O76" i="6" l="1"/>
  <c r="O82" i="6" s="1"/>
  <c r="M33" i="3"/>
  <c r="M34" i="3"/>
  <c r="M38" i="3"/>
  <c r="M39" i="3"/>
  <c r="I22" i="5" s="1"/>
  <c r="M28" i="3"/>
  <c r="M29" i="3"/>
  <c r="I21" i="5" s="1"/>
  <c r="M23" i="5"/>
  <c r="M24" i="5" s="1"/>
  <c r="N24" i="5" s="1"/>
  <c r="T40" i="3"/>
  <c r="O77" i="6" l="1"/>
  <c r="O83" i="6" s="1"/>
  <c r="O84" i="6" s="1"/>
  <c r="M26" i="5"/>
  <c r="T41" i="3"/>
  <c r="T42" i="3" s="1"/>
  <c r="M27" i="5"/>
  <c r="I23" i="5"/>
  <c r="I24" i="5" s="1"/>
  <c r="J24" i="5" s="1"/>
  <c r="M40" i="3"/>
  <c r="I27" i="5" l="1"/>
  <c r="M41" i="3"/>
  <c r="M42" i="3" s="1"/>
  <c r="I26" i="5"/>
  <c r="M25" i="5"/>
  <c r="N4" i="2"/>
  <c r="N9" i="2" l="1"/>
  <c r="N8" i="2" s="1"/>
  <c r="N14" i="2"/>
  <c r="N13" i="2" s="1"/>
  <c r="N3" i="2"/>
  <c r="H4" i="2"/>
  <c r="I25" i="5"/>
  <c r="H3" i="2" l="1"/>
  <c r="H14" i="2"/>
  <c r="H13" i="2" s="1"/>
  <c r="H9" i="2"/>
  <c r="H8" i="2" s="1"/>
  <c r="Q3" i="2"/>
  <c r="R3" i="2"/>
  <c r="O3" i="2"/>
  <c r="N5" i="2"/>
  <c r="P3" i="2"/>
  <c r="Q13" i="2"/>
  <c r="O13" i="2"/>
  <c r="N15" i="2"/>
  <c r="P13" i="2"/>
  <c r="R13" i="2"/>
  <c r="P8" i="2"/>
  <c r="O8" i="2"/>
  <c r="N10" i="2"/>
  <c r="Q8" i="2"/>
  <c r="R8" i="2"/>
  <c r="O5" i="2" l="1"/>
  <c r="O4" i="2" s="1"/>
  <c r="R5" i="2"/>
  <c r="R4" i="2" s="1"/>
  <c r="Q5" i="2"/>
  <c r="Q4" i="2" s="1"/>
  <c r="M29" i="5" s="1"/>
  <c r="P5" i="2"/>
  <c r="P4" i="2" s="1"/>
  <c r="M31" i="5" s="1"/>
  <c r="J8" i="2"/>
  <c r="I8" i="2"/>
  <c r="K8" i="2"/>
  <c r="H10" i="2"/>
  <c r="L8" i="2"/>
  <c r="L13" i="2"/>
  <c r="I13" i="2"/>
  <c r="J13" i="2"/>
  <c r="H15" i="2"/>
  <c r="K13" i="2"/>
  <c r="O10" i="2"/>
  <c r="O9" i="2" s="1"/>
  <c r="Q10" i="2"/>
  <c r="Q9" i="2" s="1"/>
  <c r="R10" i="2"/>
  <c r="R9" i="2" s="1"/>
  <c r="M32" i="5" s="1"/>
  <c r="P10" i="2"/>
  <c r="P9" i="2" s="1"/>
  <c r="O15" i="2"/>
  <c r="O14" i="2" s="1"/>
  <c r="R15" i="2"/>
  <c r="R14" i="2" s="1"/>
  <c r="M33" i="5" s="1"/>
  <c r="Q15" i="2"/>
  <c r="Q14" i="2" s="1"/>
  <c r="P15" i="2"/>
  <c r="P14" i="2" s="1"/>
  <c r="H5" i="2"/>
  <c r="J3" i="2"/>
  <c r="L3" i="2"/>
  <c r="K3" i="2"/>
  <c r="I3" i="2"/>
  <c r="L10" i="2" l="1"/>
  <c r="L9" i="2" s="1"/>
  <c r="I32" i="5" s="1"/>
  <c r="I10" i="2"/>
  <c r="I9" i="2" s="1"/>
  <c r="J10" i="2"/>
  <c r="J9" i="2" s="1"/>
  <c r="K10" i="2"/>
  <c r="K9" i="2" s="1"/>
  <c r="K5" i="2"/>
  <c r="K4" i="2" s="1"/>
  <c r="I29" i="5" s="1"/>
  <c r="J30" i="5" s="1"/>
  <c r="I5" i="2"/>
  <c r="I4" i="2" s="1"/>
  <c r="L43" i="3" s="1"/>
  <c r="I28" i="5" s="1"/>
  <c r="I39" i="5" s="1"/>
  <c r="J5" i="2"/>
  <c r="J4" i="2" s="1"/>
  <c r="I31" i="5" s="1"/>
  <c r="L5" i="2"/>
  <c r="L4" i="2" s="1"/>
  <c r="L15" i="2"/>
  <c r="L14" i="2" s="1"/>
  <c r="I33" i="5" s="1"/>
  <c r="J15" i="2"/>
  <c r="J14" i="2" s="1"/>
  <c r="I15" i="2"/>
  <c r="I14" i="2" s="1"/>
  <c r="K15" i="2"/>
  <c r="K14" i="2" s="1"/>
  <c r="N30" i="5"/>
  <c r="M35" i="5"/>
  <c r="M34" i="5"/>
  <c r="M36" i="5" s="1"/>
  <c r="M28" i="5"/>
  <c r="R43" i="3"/>
  <c r="M39" i="5" l="1"/>
  <c r="I35" i="5"/>
  <c r="M37" i="5"/>
  <c r="R44" i="3" s="1"/>
  <c r="R45" i="3" s="1"/>
  <c r="R47" i="3" s="1"/>
  <c r="R49" i="3" s="1"/>
  <c r="I34" i="5"/>
  <c r="I36" i="5" s="1"/>
  <c r="O50" i="5" s="1"/>
  <c r="AP43" i="1" s="1"/>
  <c r="H49" i="5" l="1"/>
  <c r="I37" i="5"/>
  <c r="L44" i="3" s="1"/>
  <c r="L45" i="3" s="1"/>
  <c r="L47" i="3" s="1"/>
  <c r="L49" i="3" s="1"/>
  <c r="O51" i="3" s="1"/>
  <c r="C51" i="3" l="1"/>
  <c r="S51" i="3"/>
  <c r="K49" i="5"/>
  <c r="A49" i="5"/>
</calcChain>
</file>

<file path=xl/sharedStrings.xml><?xml version="1.0" encoding="utf-8"?>
<sst xmlns="http://schemas.openxmlformats.org/spreadsheetml/2006/main" count="759" uniqueCount="504">
  <si>
    <t>Input</t>
  </si>
  <si>
    <t>INITIAL</t>
  </si>
  <si>
    <t>FINAL</t>
  </si>
  <si>
    <t>Flag</t>
  </si>
  <si>
    <t>IRISH</t>
  </si>
  <si>
    <t>Vessel arrived on</t>
  </si>
  <si>
    <t>1. Observed Draft</t>
  </si>
  <si>
    <t>FWD</t>
  </si>
  <si>
    <t>P</t>
  </si>
  <si>
    <t>Port of Registry</t>
  </si>
  <si>
    <t>ARKLOW</t>
  </si>
  <si>
    <t>Vessel berthed on</t>
  </si>
  <si>
    <t>S</t>
  </si>
  <si>
    <t xml:space="preserve">Vessel </t>
  </si>
  <si>
    <t>ARKLOW RAIDER</t>
  </si>
  <si>
    <t>Initial Survey commenced on</t>
  </si>
  <si>
    <t>MID</t>
  </si>
  <si>
    <t>Cargo</t>
  </si>
  <si>
    <t>PHOSPHATE</t>
  </si>
  <si>
    <t>Initial Survey completed on</t>
  </si>
  <si>
    <t>Port of Loading</t>
  </si>
  <si>
    <t>CASABLANCA</t>
  </si>
  <si>
    <t>AFT</t>
  </si>
  <si>
    <t>Port of Discharge</t>
  </si>
  <si>
    <t>GLOMFJORD</t>
  </si>
  <si>
    <t xml:space="preserve">B/L Weight </t>
  </si>
  <si>
    <t>Final Survey commenced on</t>
  </si>
  <si>
    <t>2.FWD.Cor. Factor</t>
  </si>
  <si>
    <t>df</t>
  </si>
  <si>
    <t xml:space="preserve">B/L Date </t>
  </si>
  <si>
    <t>Final Survey completed on</t>
  </si>
  <si>
    <t>3.MID.Cor. Factor</t>
  </si>
  <si>
    <t>dm</t>
  </si>
  <si>
    <t>Gross weight (MT)</t>
  </si>
  <si>
    <t>LBP (en m)</t>
  </si>
  <si>
    <t>4.AFT.Cor. Factor</t>
  </si>
  <si>
    <t>da</t>
  </si>
  <si>
    <t>Net Weight (MT)</t>
  </si>
  <si>
    <t>LOA (en m)</t>
  </si>
  <si>
    <t>5.Kell Corr</t>
  </si>
  <si>
    <t>Summer Draft (en m)</t>
  </si>
  <si>
    <t>Breadth (en m)</t>
  </si>
  <si>
    <t>LBP</t>
  </si>
  <si>
    <t>Summer Freeboard (en m)</t>
  </si>
  <si>
    <t>Number of Holds</t>
  </si>
  <si>
    <t>Summer Deadweight (MT)</t>
  </si>
  <si>
    <t>Number of Ballast Tks</t>
  </si>
  <si>
    <t>6.Lenght Between Perp</t>
  </si>
  <si>
    <t>Light Ship (MT)</t>
  </si>
  <si>
    <t>Number of F. water Tks</t>
  </si>
  <si>
    <t>7.Lenght Between Draft Marks</t>
  </si>
  <si>
    <t>LBM</t>
  </si>
  <si>
    <t>Constante declared  (MT)</t>
  </si>
  <si>
    <t>8.Known Weights</t>
  </si>
  <si>
    <t>Fo</t>
  </si>
  <si>
    <t>Go</t>
  </si>
  <si>
    <t>Lo</t>
  </si>
  <si>
    <t>Ballast</t>
  </si>
  <si>
    <t>Fw</t>
  </si>
  <si>
    <t>Others/Slops</t>
  </si>
  <si>
    <t>9.Hydrostatic Table Density</t>
  </si>
  <si>
    <t>10.Dock Density</t>
  </si>
  <si>
    <t>11.Light Ship</t>
  </si>
  <si>
    <t>12.Declared Constante</t>
  </si>
  <si>
    <t>12.Calculated Constante</t>
  </si>
  <si>
    <t>Draft Interval</t>
  </si>
  <si>
    <t>LBP/2</t>
  </si>
  <si>
    <t>INTERPOLATION</t>
  </si>
  <si>
    <t>Draft</t>
  </si>
  <si>
    <t>Displacement</t>
  </si>
  <si>
    <t>TPC</t>
  </si>
  <si>
    <t>LCF</t>
  </si>
  <si>
    <t>MTC</t>
  </si>
  <si>
    <t>LCF/Aft PP</t>
  </si>
  <si>
    <t>MTC1</t>
  </si>
  <si>
    <t>MTC2</t>
  </si>
  <si>
    <t>B/L Weight &amp; Date</t>
  </si>
  <si>
    <t>DRAFT SURVEY REPORT</t>
  </si>
  <si>
    <t>:</t>
  </si>
  <si>
    <t>L.B.P.</t>
  </si>
  <si>
    <t>L.O.A.</t>
  </si>
  <si>
    <t>Number of Ballast Tks    :</t>
  </si>
  <si>
    <t>Gross Tonnage</t>
  </si>
  <si>
    <t>Breadth</t>
  </si>
  <si>
    <t>Summer Draft</t>
  </si>
  <si>
    <t>Net Tonnage</t>
  </si>
  <si>
    <t>Light Ship</t>
  </si>
  <si>
    <t>Summer Deadweight      :</t>
  </si>
  <si>
    <t>at</t>
  </si>
  <si>
    <t>DRAFTS AND CALCULATIONS</t>
  </si>
  <si>
    <t>UNIT</t>
  </si>
  <si>
    <t xml:space="preserve">  F O R E</t>
  </si>
  <si>
    <t>Port</t>
  </si>
  <si>
    <t>m</t>
  </si>
  <si>
    <t>Starboard</t>
  </si>
  <si>
    <t>Mean</t>
  </si>
  <si>
    <t>Stern Correction</t>
  </si>
  <si>
    <t>Corected Fore</t>
  </si>
  <si>
    <t xml:space="preserve">  A   F   T</t>
  </si>
  <si>
    <t>Corrected Aft</t>
  </si>
  <si>
    <t xml:space="preserve">  M  I  D</t>
  </si>
  <si>
    <t>Mid Correction</t>
  </si>
  <si>
    <t>Corrected Mid</t>
  </si>
  <si>
    <t xml:space="preserve">     Mean Fore/Aft</t>
  </si>
  <si>
    <t xml:space="preserve">     Mean of Mean</t>
  </si>
  <si>
    <t xml:space="preserve">     Quarter Mean </t>
  </si>
  <si>
    <t>MT</t>
  </si>
  <si>
    <t>Corresponding Displacement</t>
  </si>
  <si>
    <t xml:space="preserve"> Trim  correction  </t>
  </si>
  <si>
    <t>Corrected displacement For Trim</t>
  </si>
  <si>
    <t xml:space="preserve"> Density of Dock water</t>
  </si>
  <si>
    <t>Kg/l</t>
  </si>
  <si>
    <t>Corrected displacement For Density</t>
  </si>
  <si>
    <t>Deductibles Liquids</t>
  </si>
  <si>
    <t>Net Light / Loaded displacement</t>
  </si>
  <si>
    <t>The draft Survey is jointly effected with the ship's staff and calculated on basis of the existing calibrations tables and data on board and supplied by Captain and/or Chief Off. Prior to commencement and after completion of the Un/loading.</t>
  </si>
  <si>
    <t>Remarks :</t>
  </si>
  <si>
    <t>SGS Surveyor</t>
  </si>
  <si>
    <t>Master / Chief Off.</t>
  </si>
  <si>
    <t xml:space="preserve">   </t>
  </si>
  <si>
    <t>This report is issued by the Company under its General Conditions of Services available on request and accessible at http://www.sgs.com/terms_and_conditions.htm</t>
  </si>
  <si>
    <t xml:space="preserve">SGS Maroc S.A.   </t>
  </si>
  <si>
    <r>
      <t xml:space="preserve">Minerals Services - N°5 Rue Abdelwahid Derraq, Eucalyptus - Mohammedia   </t>
    </r>
    <r>
      <rPr>
        <b/>
        <sz val="7"/>
        <rFont val="Arial"/>
        <family val="2"/>
      </rPr>
      <t>t</t>
    </r>
    <r>
      <rPr>
        <sz val="7"/>
        <rFont val="Arial"/>
        <family val="2"/>
      </rPr>
      <t xml:space="preserve"> (212) 523 314.557  </t>
    </r>
    <r>
      <rPr>
        <b/>
        <sz val="7"/>
        <rFont val="Arial"/>
        <family val="2"/>
      </rPr>
      <t>f</t>
    </r>
    <r>
      <rPr>
        <sz val="7"/>
        <rFont val="Arial"/>
        <family val="2"/>
      </rPr>
      <t xml:space="preserve"> (212) 523 300.631  </t>
    </r>
    <r>
      <rPr>
        <b/>
        <sz val="7"/>
        <rFont val="Arial"/>
        <family val="2"/>
      </rPr>
      <t>e</t>
    </r>
    <r>
      <rPr>
        <sz val="7"/>
        <rFont val="Arial"/>
        <family val="2"/>
      </rPr>
      <t xml:space="preserve"> ma.mohamedia@sgs.com</t>
    </r>
  </si>
  <si>
    <t>DRAFT SURVEY</t>
  </si>
  <si>
    <t>Page 3/3</t>
  </si>
  <si>
    <t>DEDUCTIBLES</t>
  </si>
  <si>
    <t>INITIAL SURVEY</t>
  </si>
  <si>
    <t>FINAL SURVEY</t>
  </si>
  <si>
    <t>Tank</t>
  </si>
  <si>
    <t>Sounding (cm)</t>
  </si>
  <si>
    <t>Volume (m3)</t>
  </si>
  <si>
    <t>Density (Kg/l)</t>
  </si>
  <si>
    <t>Weight   (MT)</t>
  </si>
  <si>
    <t>Weight     (MT)</t>
  </si>
  <si>
    <t>Total</t>
  </si>
  <si>
    <t>Fresh water</t>
  </si>
  <si>
    <t xml:space="preserve">Density     = </t>
  </si>
  <si>
    <t>kg/l</t>
  </si>
  <si>
    <t>Weight (MT)</t>
  </si>
  <si>
    <t>Bunkers</t>
  </si>
  <si>
    <t xml:space="preserve">Fuel Oil </t>
  </si>
  <si>
    <t xml:space="preserve">Diesel Oil </t>
  </si>
  <si>
    <t xml:space="preserve">Lub. Oil </t>
  </si>
  <si>
    <t>Total Bunkers (MT)</t>
  </si>
  <si>
    <t>The quantity of bunkers were supplied by Captain/Chef Off./Chief Engineer</t>
  </si>
  <si>
    <t>Master/ Chief Off.</t>
  </si>
  <si>
    <t>This report is issued by the Company under its General Conditions Services available on request and accessible at http://www.sgs.com/terms_and_conditions.htm</t>
  </si>
  <si>
    <t>Page 2/3</t>
  </si>
  <si>
    <t>DETAILS</t>
  </si>
  <si>
    <t xml:space="preserve">Apparent Trim </t>
  </si>
  <si>
    <t>Distance of Fore Draft Marks (F or A)</t>
  </si>
  <si>
    <t>Distance of Midship Draft Marks (F or A)</t>
  </si>
  <si>
    <t>Distance of After Draft Marks (F or A)</t>
  </si>
  <si>
    <t xml:space="preserve">Stem Correction </t>
  </si>
  <si>
    <t>Midships Correction</t>
  </si>
  <si>
    <t xml:space="preserve">Stern Correction </t>
  </si>
  <si>
    <t>Corrected Forward Mean</t>
  </si>
  <si>
    <t>Corrected Midships Mean</t>
  </si>
  <si>
    <t>Corrected After Mean</t>
  </si>
  <si>
    <t>Trim Corrected</t>
  </si>
  <si>
    <t>Quarter Mean</t>
  </si>
  <si>
    <t>Hull deformation</t>
  </si>
  <si>
    <t>Hog / Sag</t>
  </si>
  <si>
    <t>-</t>
  </si>
  <si>
    <t xml:space="preserve">Corresponding Displacement </t>
  </si>
  <si>
    <t>Position of LCF ( F / A )</t>
  </si>
  <si>
    <t>MT/cm</t>
  </si>
  <si>
    <t>MTC + 50</t>
  </si>
  <si>
    <t>MTC - 50</t>
  </si>
  <si>
    <t>DMTC</t>
  </si>
  <si>
    <t>First Trim Correction</t>
  </si>
  <si>
    <t>Second Trim Correction</t>
  </si>
  <si>
    <t>Total Trim Correction</t>
  </si>
  <si>
    <t>Density of Dock water</t>
  </si>
  <si>
    <t>Density Correction</t>
  </si>
  <si>
    <t>Deductions</t>
  </si>
  <si>
    <t>Ballast Water</t>
  </si>
  <si>
    <t>F. Water</t>
  </si>
  <si>
    <t>Others     :</t>
  </si>
  <si>
    <t>Total Deductibles</t>
  </si>
  <si>
    <t>Net / Load Displacement</t>
  </si>
  <si>
    <t>Declared Constante :</t>
  </si>
  <si>
    <t>Actual Constante :</t>
  </si>
  <si>
    <r>
      <t xml:space="preserve">Minerals Services - N°5 Rue Abdelwahid Derraq, Eucalyptus - Mohammedia   </t>
    </r>
    <r>
      <rPr>
        <b/>
        <sz val="6"/>
        <rFont val="Arial"/>
        <family val="2"/>
      </rPr>
      <t>t</t>
    </r>
    <r>
      <rPr>
        <sz val="6"/>
        <rFont val="Arial"/>
        <family val="2"/>
      </rPr>
      <t xml:space="preserve"> (212) 523 314.557  </t>
    </r>
    <r>
      <rPr>
        <b/>
        <sz val="6"/>
        <rFont val="Arial"/>
        <family val="2"/>
      </rPr>
      <t>f</t>
    </r>
    <r>
      <rPr>
        <sz val="6"/>
        <rFont val="Arial"/>
        <family val="2"/>
      </rPr>
      <t xml:space="preserve"> (212) 523 300.631  </t>
    </r>
    <r>
      <rPr>
        <b/>
        <sz val="6"/>
        <rFont val="Arial"/>
        <family val="2"/>
      </rPr>
      <t>e</t>
    </r>
    <r>
      <rPr>
        <sz val="6"/>
        <rFont val="Arial"/>
        <family val="2"/>
      </rPr>
      <t xml:space="preserve"> ma.mohamedia@sgs.com</t>
    </r>
  </si>
  <si>
    <t>Trimming Weight / Remaining Cargo Quantity</t>
  </si>
  <si>
    <t>Change of Draft each 100 t  weight add</t>
  </si>
  <si>
    <t>For Draft=</t>
  </si>
  <si>
    <t>M</t>
  </si>
  <si>
    <t>Aft Draft=</t>
  </si>
  <si>
    <t>Trimming Weight=</t>
  </si>
  <si>
    <t>Dock Density=</t>
  </si>
  <si>
    <t>LBP=</t>
  </si>
  <si>
    <t xml:space="preserve">For the last triming </t>
  </si>
  <si>
    <t>Required Trim=</t>
  </si>
  <si>
    <t>HOLD 2</t>
  </si>
  <si>
    <t>HOLD 5</t>
  </si>
  <si>
    <t>LCG of Forward Hold =</t>
  </si>
  <si>
    <t>LCG of Aft Hold =</t>
  </si>
  <si>
    <t>Look in the trimming table for each 100 T/cm for the hold 2 and hold 5</t>
  </si>
  <si>
    <t>1/ Meam Draft=</t>
  </si>
  <si>
    <t>HOLD 2 @ 8M</t>
  </si>
  <si>
    <t>T</t>
  </si>
  <si>
    <t>Fwd Factor=</t>
  </si>
  <si>
    <t>Correction's Fwd=</t>
  </si>
  <si>
    <t>c a d que si on charge 1200 t ds la cale 2 le draft avant augmente de</t>
  </si>
  <si>
    <t>2/ using the hydrostatic table we look for at the mean draft :</t>
  </si>
  <si>
    <t>Aft Factor=</t>
  </si>
  <si>
    <t>Correction's Aft=</t>
  </si>
  <si>
    <t>et l'arriere diminue de</t>
  </si>
  <si>
    <t>MTC=</t>
  </si>
  <si>
    <t>LCF=</t>
  </si>
  <si>
    <t>HOLD 5 @ 8M</t>
  </si>
  <si>
    <t>TPC=</t>
  </si>
  <si>
    <t>l'avant draft diminue de</t>
  </si>
  <si>
    <t>l'arriere draft augmente de</t>
  </si>
  <si>
    <t>Actual MTC =</t>
  </si>
  <si>
    <t>(MTC*Dock Density)/1,025</t>
  </si>
  <si>
    <t>3/ Trouver les distance entre les cales ou DBH</t>
  </si>
  <si>
    <t>DBH =</t>
  </si>
  <si>
    <t>LCG of Aft Hold - LCG of Forward Hold</t>
  </si>
  <si>
    <t>LGC is from MidShip</t>
  </si>
  <si>
    <t>Sum dft=Max Dft</t>
  </si>
  <si>
    <t>Sagging</t>
  </si>
  <si>
    <t>4/ Obtenir "The distance of weight Aft LGC"</t>
  </si>
  <si>
    <t>ton/cm</t>
  </si>
  <si>
    <t>The distance of weight Aft LGC =</t>
  </si>
  <si>
    <t>LCG of Aft Hold - LCF</t>
  </si>
  <si>
    <t>5/ Obtenir The present Trim</t>
  </si>
  <si>
    <t>1st: Calculer the Sinkage available =</t>
  </si>
  <si>
    <t>Max Loadable draft - Current Mid Draft Observed(not the mean) - Sag Allowance (if any)</t>
  </si>
  <si>
    <t xml:space="preserve">Present Trim= </t>
  </si>
  <si>
    <t>Aft Draft- For Draft</t>
  </si>
  <si>
    <t>Sinkage=</t>
  </si>
  <si>
    <t>Sagg=0 but NEVER OVER LOAD</t>
  </si>
  <si>
    <t>The cargo to load = Sinkage (cm) x TPC=</t>
  </si>
  <si>
    <t>t</t>
  </si>
  <si>
    <t>6/ COT = Change Of Trim =</t>
  </si>
  <si>
    <t>Required Trim - Present Trim</t>
  </si>
  <si>
    <t>COT =</t>
  </si>
  <si>
    <t>Tasks:</t>
  </si>
  <si>
    <t>&gt;The ship loads 1790 T of cargo in Holds 2 &amp; 6</t>
  </si>
  <si>
    <t>7/ Weight  For the Forward Hold</t>
  </si>
  <si>
    <t>&gt; the ship is loaded to her Summer Draft : 13,482 m</t>
  </si>
  <si>
    <t>WT FWD =</t>
  </si>
  <si>
    <t>(The distance of weight Aft LGC * Cargo to Load)-(COT *MTC*100)/DBH</t>
  </si>
  <si>
    <t>&gt; the ship is even keel</t>
  </si>
  <si>
    <t>2nd: Calculer the Mean Draft =</t>
  </si>
  <si>
    <t>8/ Weight  For the Aft Hold</t>
  </si>
  <si>
    <t>Picking Data from Trimming table</t>
  </si>
  <si>
    <t>WT AFT =</t>
  </si>
  <si>
    <t>Cargo to Load - WT FWD</t>
  </si>
  <si>
    <t>3rd:</t>
  </si>
  <si>
    <t>TF11</t>
  </si>
  <si>
    <t>TA11</t>
  </si>
  <si>
    <t>TF12</t>
  </si>
  <si>
    <t>TA12</t>
  </si>
  <si>
    <t>TF13</t>
  </si>
  <si>
    <t>TA13</t>
  </si>
  <si>
    <t>TF14</t>
  </si>
  <si>
    <t>TA14(Mean Draft)</t>
  </si>
  <si>
    <t>HOLD 6</t>
  </si>
  <si>
    <t>Sinkage Or Mean Raise: Chute  ou Montée Moyenne des Drafts ?</t>
  </si>
  <si>
    <t>we are Loading So we look for Sinkage</t>
  </si>
  <si>
    <t>4th</t>
  </si>
  <si>
    <t>Interpolatio,</t>
  </si>
  <si>
    <t>5th:</t>
  </si>
  <si>
    <t>Calculer the Change of trim causer par the Loading cargo in holds 2 &amp; 6</t>
  </si>
  <si>
    <t xml:space="preserve">Sinkage = </t>
  </si>
  <si>
    <t>(Cargo to Load / (TPC * 100))</t>
  </si>
  <si>
    <t>Sinkage For</t>
  </si>
  <si>
    <t>Sinkage Aft</t>
  </si>
  <si>
    <t>To be Add to the Old draft</t>
  </si>
  <si>
    <t>TF13,2</t>
  </si>
  <si>
    <t>TA13,2</t>
  </si>
  <si>
    <t>Change of trim= Difference</t>
  </si>
  <si>
    <t>cm</t>
  </si>
  <si>
    <t xml:space="preserve">Obtenir the Half COT </t>
  </si>
  <si>
    <t>1/2 COT =</t>
  </si>
  <si>
    <t>COT / 2</t>
  </si>
  <si>
    <t>Total Chage of Trim=</t>
  </si>
  <si>
    <t>Cm</t>
  </si>
  <si>
    <t>Rules for appling 1/2 COT to the intial drafts</t>
  </si>
  <si>
    <t>6th: Cargo Loaded in 1 hold2 ( pour reduir le Trim)</t>
  </si>
  <si>
    <t xml:space="preserve"> if the COT is Decrising FWD (+)/ AFT (-)</t>
  </si>
  <si>
    <t>Actual Trim=</t>
  </si>
  <si>
    <t>CM</t>
  </si>
  <si>
    <t>if the COT is incresing FWD (-)/ AFT (+)</t>
  </si>
  <si>
    <t>Departure Trim=</t>
  </si>
  <si>
    <t>NB: Our COT is decrising so we add the 1/2 COT FWD and we substract it from AFT</t>
  </si>
  <si>
    <t xml:space="preserve"> Cargo Loaded in hold2= </t>
  </si>
  <si>
    <t>To be Loaded in Hold 2 by changing the trim 0,4m and bring the ship to even keel</t>
  </si>
  <si>
    <t>Trim =</t>
  </si>
  <si>
    <t>Old Draft</t>
  </si>
  <si>
    <t xml:space="preserve"> Cargo to be Loaded in hold2 &amp; 6= </t>
  </si>
  <si>
    <t>1/2 COT</t>
  </si>
  <si>
    <t>7th: on a besoin de charger les cales 2 et 6 sans changer de trim et charger jusqu'au draft desiré</t>
  </si>
  <si>
    <t>Final Draft</t>
  </si>
  <si>
    <t>so  the methode used is to calculate the cargo to load in 2nd holds</t>
  </si>
  <si>
    <t>For the hold 2, the Quantity to be loaded is =</t>
  </si>
  <si>
    <t>Total weight of cargo to load(tons) x Change of trim cased by cargo hold 6 (cm)</t>
  </si>
  <si>
    <t xml:space="preserve"> </t>
  </si>
  <si>
    <t>Change f trim caused by holds 2 and 6</t>
  </si>
  <si>
    <t>Hold 2 we load</t>
  </si>
  <si>
    <t>Hold 6 we load</t>
  </si>
  <si>
    <t>Recap:</t>
  </si>
  <si>
    <t>First we load 526,32 T the ship to bring the ship Even Keel</t>
  </si>
  <si>
    <t>Secondly to bring the shi to the summer draft we load 507,25 T in hold 2 and the balance remaining in hold 6</t>
  </si>
  <si>
    <t>Hold 2 we loaded</t>
  </si>
  <si>
    <t>Hold 6 we loaded</t>
  </si>
  <si>
    <t>Total Loaded</t>
  </si>
  <si>
    <t>DWA: Dock Water Allowance</t>
  </si>
  <si>
    <t>Actual For Draft</t>
  </si>
  <si>
    <t>Actual Aft Draft</t>
  </si>
  <si>
    <t>Actual Dock Water Density</t>
  </si>
  <si>
    <t>New Dock Water Density</t>
  </si>
  <si>
    <t>This is a parallele sinkage</t>
  </si>
  <si>
    <t>When a ship sinks, the Volume of displacement changes as well as the LCB, LCF, and the MTC.</t>
  </si>
  <si>
    <t>1/</t>
  </si>
  <si>
    <t>Actual Mean Draft</t>
  </si>
  <si>
    <t>While the ship's LCG is at the same point, movement of the LCB creat a new TRIM LEVER .Becuse of this the Trim will change.</t>
  </si>
  <si>
    <t>2/</t>
  </si>
  <si>
    <t>The opposite will result when coming from Dock water of lesser density to seawater</t>
  </si>
  <si>
    <t>Displacement=</t>
  </si>
  <si>
    <t>LCB=</t>
  </si>
  <si>
    <t>3/</t>
  </si>
  <si>
    <t>Look up the  Displ. For the new Density</t>
  </si>
  <si>
    <t>Look up Displ = Displ. X Old Density</t>
  </si>
  <si>
    <t xml:space="preserve">    New Density</t>
  </si>
  <si>
    <t>4/</t>
  </si>
  <si>
    <t>From the Hydrostatic Table we get fot 70604 T</t>
  </si>
  <si>
    <t>New Mean Draft 1 =</t>
  </si>
  <si>
    <t>LCB 1=</t>
  </si>
  <si>
    <t>MTC 1  =</t>
  </si>
  <si>
    <t>5/</t>
  </si>
  <si>
    <t xml:space="preserve">DWA = </t>
  </si>
  <si>
    <t>6/</t>
  </si>
  <si>
    <t>Found the Change of trim or COT</t>
  </si>
  <si>
    <t>New displ x (LCB1-LCB)</t>
  </si>
  <si>
    <t xml:space="preserve">   MTC X 100</t>
  </si>
  <si>
    <t>7/</t>
  </si>
  <si>
    <t>Mean Rise or sinkage</t>
  </si>
  <si>
    <t>DWA =</t>
  </si>
  <si>
    <t>8/</t>
  </si>
  <si>
    <t>Summary :</t>
  </si>
  <si>
    <t xml:space="preserve">FWA= Freesh water Allance </t>
  </si>
  <si>
    <t xml:space="preserve"> 1/ DWA =</t>
  </si>
  <si>
    <t xml:space="preserve">FWA X </t>
  </si>
  <si>
    <t xml:space="preserve">      SG of SW - SG DW</t>
  </si>
  <si>
    <t>For Draft</t>
  </si>
  <si>
    <t>Aft Draft</t>
  </si>
  <si>
    <t xml:space="preserve">       SGsw - SG FW</t>
  </si>
  <si>
    <t>DWA</t>
  </si>
  <si>
    <t>DWA=</t>
  </si>
  <si>
    <t xml:space="preserve">   1,025 - SG DW</t>
  </si>
  <si>
    <t>2/ Burnoff =</t>
  </si>
  <si>
    <t>Consumption X days</t>
  </si>
  <si>
    <t>Final Trim</t>
  </si>
  <si>
    <t xml:space="preserve">         TPC</t>
  </si>
  <si>
    <t>Vessel</t>
  </si>
  <si>
    <t>Bl weight</t>
  </si>
  <si>
    <t>Port Of Loading</t>
  </si>
  <si>
    <t>Port of Discharging</t>
  </si>
  <si>
    <t>Colonne1</t>
  </si>
  <si>
    <t>The Ship Sinks when coming from High Density to a lower Density</t>
  </si>
  <si>
    <t>Coming from seawater to a dock water of lesser density , the ship will trim by Bow</t>
  </si>
  <si>
    <t>DWA =  New Mean Draft - Actual Mean Draft</t>
  </si>
  <si>
    <t>LCG OF CARGO HOLDS</t>
  </si>
  <si>
    <t>Hold</t>
  </si>
  <si>
    <t>HYDROSTATIC TABLE</t>
  </si>
  <si>
    <t>DRAFT</t>
  </si>
  <si>
    <t>DISPL</t>
  </si>
  <si>
    <t>LCB</t>
  </si>
  <si>
    <t>From the Hydrostatic Table we get for 12,55 m the following:</t>
  </si>
  <si>
    <t xml:space="preserve">Trimming Calculation on ships/ Trimming Tables </t>
  </si>
  <si>
    <t>Yucatan Channel</t>
  </si>
  <si>
    <t>Bishop Rock, England</t>
  </si>
  <si>
    <t>Cape Leeuwin, Australia</t>
  </si>
  <si>
    <t>Cape of Good Hope, South Africa</t>
  </si>
  <si>
    <t>Fastnet Rock, Ireland</t>
  </si>
  <si>
    <t>Grand Banks South</t>
  </si>
  <si>
    <t>Honshu, Japan</t>
  </si>
  <si>
    <t>Ile d’Ouessant, France</t>
  </si>
  <si>
    <t>Inishtrahull, Ireland</t>
  </si>
  <si>
    <t>Montreal, Canada</t>
  </si>
  <si>
    <t>Nord-Ostsee-Kanal, Germany</t>
  </si>
  <si>
    <t>Panama, Panama</t>
  </si>
  <si>
    <t>Pentland Firth, Scotland</t>
  </si>
  <si>
    <t>Port Said, Egypt</t>
  </si>
  <si>
    <t>Punta Arenas, Chile</t>
  </si>
  <si>
    <t>Selat Lombok, Indonesia</t>
  </si>
  <si>
    <t>Selat Sunda, Indonesia</t>
  </si>
  <si>
    <t>Selat Wetar, Indonesia</t>
  </si>
  <si>
    <t>Singapore</t>
  </si>
  <si>
    <t>Skagens Odde, Denmark</t>
  </si>
  <si>
    <t>Strait of Gibraltar</t>
  </si>
  <si>
    <t>Straits of Florida</t>
  </si>
  <si>
    <t>Torres Strait, Australia</t>
  </si>
  <si>
    <t>Tsugaru-Kaikyo, Japan</t>
  </si>
  <si>
    <t>Wilson Promontory, Australia</t>
  </si>
  <si>
    <t>Junction Points</t>
  </si>
  <si>
    <t>Altitude</t>
  </si>
  <si>
    <t>Longitude</t>
  </si>
  <si>
    <t xml:space="preserve"> 6°35'00"W</t>
  </si>
  <si>
    <t>115°08'00"E</t>
  </si>
  <si>
    <t>18°23'00"E</t>
  </si>
  <si>
    <t>9°36'00"W</t>
  </si>
  <si>
    <t>50°00'00"W</t>
  </si>
  <si>
    <t>140°30'00"E</t>
  </si>
  <si>
    <t>5°30'00"W</t>
  </si>
  <si>
    <t>7°30'00"W</t>
  </si>
  <si>
    <t>73°33'00"W</t>
  </si>
  <si>
    <t>10°09'00"E</t>
  </si>
  <si>
    <t>79°31'00"W</t>
  </si>
  <si>
    <t>3°20'00"W</t>
  </si>
  <si>
    <t>32°19'00"E</t>
  </si>
  <si>
    <t>70°54'00"W</t>
  </si>
  <si>
    <t>115°43'00"E</t>
  </si>
  <si>
    <t>105°50'00"E</t>
  </si>
  <si>
    <t>127°27'00"E</t>
  </si>
  <si>
    <t>103°50'00"E</t>
  </si>
  <si>
    <t>10°44'00"E</t>
  </si>
  <si>
    <t>5°45'00"W</t>
  </si>
  <si>
    <t>83°00'00"W</t>
  </si>
  <si>
    <t>142°08'00"E</t>
  </si>
  <si>
    <t>140°40'00"E</t>
  </si>
  <si>
    <t>146°26'00"E</t>
  </si>
  <si>
    <t>85°03'00"W</t>
  </si>
  <si>
    <t>49°45'00"N</t>
  </si>
  <si>
    <t>34°32'00"S</t>
  </si>
  <si>
    <t>34°22'00"S</t>
  </si>
  <si>
    <t>51°20'00"N</t>
  </si>
  <si>
    <t>42°30'00"N</t>
  </si>
  <si>
    <t>35°00'00"N</t>
  </si>
  <si>
    <t>48°40'00"N</t>
  </si>
  <si>
    <t>55°25'00"N</t>
  </si>
  <si>
    <t>45°30'00"N</t>
  </si>
  <si>
    <t>54°22'00"N</t>
  </si>
  <si>
    <t>8°53'00"N</t>
  </si>
  <si>
    <t>58°42'00"N</t>
  </si>
  <si>
    <t>31°16'00"N</t>
  </si>
  <si>
    <t>53°10'00"S</t>
  </si>
  <si>
    <t>8°50'00"S</t>
  </si>
  <si>
    <t>6°04'00"S</t>
  </si>
  <si>
    <t>8°19'00"S</t>
  </si>
  <si>
    <t>1°16'00"N</t>
  </si>
  <si>
    <t>57°48'00"N</t>
  </si>
  <si>
    <t>35°57'00"N</t>
  </si>
  <si>
    <t>24°25'00"N</t>
  </si>
  <si>
    <t>10°33'00"S</t>
  </si>
  <si>
    <t>41°30'00"N</t>
  </si>
  <si>
    <t>39°10'00"S</t>
  </si>
  <si>
    <t>21°50'00"N</t>
  </si>
  <si>
    <t>Casablanca, Morocco</t>
  </si>
  <si>
    <t>Iskanderon, Turkey</t>
  </si>
  <si>
    <t>Roche fort , France</t>
  </si>
  <si>
    <t>Amseterdam , Netherland</t>
  </si>
  <si>
    <t>TANGER</t>
  </si>
  <si>
    <t>AGADIR</t>
  </si>
  <si>
    <t>Dakar, Senegal, 1,333</t>
  </si>
  <si>
    <t>Freetown, Sierra Leone, 1,812</t>
  </si>
  <si>
    <t>Funchal, Madeira Island, 476</t>
  </si>
  <si>
    <t>Gijon, Spain, 763</t>
  </si>
  <si>
    <t>Lisboa, Portugal, 324</t>
  </si>
  <si>
    <t>Ponta Delgada, Azores, 915</t>
  </si>
  <si>
    <t>Port Etienne, Mauritania, 1,032</t>
  </si>
  <si>
    <t>Porto Grande, Sao Vicente, Cape</t>
  </si>
  <si>
    <t>Verde Islands, 1,387</t>
  </si>
  <si>
    <t>Rota, Spain, 202</t>
  </si>
  <si>
    <t>Safi, Morocco, 134</t>
  </si>
  <si>
    <t>Santa Cruz de Tenerife, Canary</t>
  </si>
  <si>
    <t>Islands, 548</t>
  </si>
  <si>
    <t>Setubal, Portugal, 313</t>
  </si>
  <si>
    <t>Tangier, Morocco, 166</t>
  </si>
  <si>
    <t>Vigo, Spain, 545</t>
  </si>
  <si>
    <t>Vila Real de Santo Antonio,</t>
  </si>
  <si>
    <t>Portugal, 218</t>
  </si>
  <si>
    <t>Villa Cisneros, Western Sahara,</t>
  </si>
  <si>
    <t>DISTANCES TO CASA</t>
  </si>
  <si>
    <t>Drammen Norway</t>
  </si>
  <si>
    <t>Port taranaki, nouvelle zelande</t>
  </si>
  <si>
    <t>walcot, Australia</t>
  </si>
  <si>
    <t>35°47'00"N</t>
  </si>
  <si>
    <t>33°37'00"N</t>
  </si>
  <si>
    <t>36°36'00"N</t>
  </si>
  <si>
    <t>45°56'12"N</t>
  </si>
  <si>
    <t>30°25'30"N</t>
  </si>
  <si>
    <t>52°23'00"N</t>
  </si>
  <si>
    <t>59°44'18"N</t>
  </si>
  <si>
    <t>39°02'08"S</t>
  </si>
  <si>
    <t>20°31'58"S</t>
  </si>
  <si>
    <t>7°36'00"W</t>
  </si>
  <si>
    <t>36°11'00"E</t>
  </si>
  <si>
    <t>9°37'35"W</t>
  </si>
  <si>
    <t>4°54'00"E</t>
  </si>
  <si>
    <t>10°14'32"E</t>
  </si>
  <si>
    <t>5°48'00"W</t>
  </si>
  <si>
    <t>0°57'15"W</t>
  </si>
  <si>
    <t>174°02'30"E</t>
  </si>
  <si>
    <t>117°14'00"E</t>
  </si>
  <si>
    <t xml:space="preserve">Agadir, Morocco, </t>
  </si>
  <si>
    <t xml:space="preserve">Amboim, Angola, </t>
  </si>
  <si>
    <t xml:space="preserve">Cadiz, Spain, </t>
  </si>
  <si>
    <t>Ceuta, Morocco,</t>
  </si>
  <si>
    <t>(Actual trim (cm)x 100) / Trim Change caused by hold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</si>
</sst>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#,##0.000"/>
    <numFmt numFmtId="165" formatCode="0.000"/>
    <numFmt numFmtId="166" formatCode="#,##0.0000"/>
    <numFmt numFmtId="167" formatCode="#,##0.000;[Red]#,##0.000"/>
    <numFmt numFmtId="168" formatCode="0.0000"/>
    <numFmt numFmtId="169" formatCode="0.0"/>
  </numFmts>
  <fonts count="54">
    <font>
      <sz val="11"/>
      <color theme="1"/>
      <name val="Calibri"/>
      <family val="2"/>
      <scheme val="minor"/>
    </font>
    <font>
      <sz val="11"/>
      <color indexed="10"/>
      <name val="Calibri"/>
      <family val="2"/>
    </font>
    <font>
      <b/>
      <sz val="11"/>
      <color indexed="8"/>
      <name val="Calibri"/>
      <family val="2"/>
    </font>
    <font>
      <b/>
      <sz val="11"/>
      <color indexed="9"/>
      <name val="Calibri"/>
      <family val="2"/>
    </font>
    <font>
      <sz val="10"/>
      <color indexed="8"/>
      <name val="Calibri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16"/>
      <color indexed="8"/>
      <name val="Calibri"/>
      <family val="2"/>
    </font>
    <font>
      <b/>
      <sz val="10"/>
      <name val="Calibri"/>
      <family val="2"/>
    </font>
    <font>
      <b/>
      <sz val="11"/>
      <name val="Calibri"/>
      <family val="2"/>
    </font>
    <font>
      <u/>
      <sz val="10"/>
      <name val="Arial"/>
      <family val="2"/>
    </font>
    <font>
      <b/>
      <sz val="18"/>
      <name val="Arial"/>
      <family val="2"/>
    </font>
    <font>
      <sz val="8"/>
      <name val="Arial"/>
      <family val="2"/>
    </font>
    <font>
      <i/>
      <sz val="9"/>
      <name val="Arial"/>
      <family val="2"/>
    </font>
    <font>
      <i/>
      <u/>
      <sz val="11"/>
      <name val="Arial"/>
      <family val="2"/>
    </font>
    <font>
      <i/>
      <sz val="11"/>
      <name val="Arial"/>
      <family val="2"/>
    </font>
    <font>
      <i/>
      <sz val="10"/>
      <name val="Arial"/>
      <family val="2"/>
    </font>
    <font>
      <sz val="7"/>
      <name val="Arial"/>
      <family val="2"/>
    </font>
    <font>
      <b/>
      <sz val="8"/>
      <color indexed="53"/>
      <name val="Arial"/>
      <family val="2"/>
    </font>
    <font>
      <b/>
      <sz val="7"/>
      <name val="Arial"/>
      <family val="2"/>
    </font>
    <font>
      <sz val="7"/>
      <name val="CG Times"/>
      <family val="1"/>
    </font>
    <font>
      <sz val="7"/>
      <name val="Times New Roman"/>
      <family val="1"/>
    </font>
    <font>
      <b/>
      <sz val="12"/>
      <name val="Arial"/>
      <family val="2"/>
    </font>
    <font>
      <b/>
      <sz val="14"/>
      <name val="Arial"/>
      <family val="2"/>
    </font>
    <font>
      <sz val="6"/>
      <name val="Arial"/>
      <family val="2"/>
    </font>
    <font>
      <b/>
      <sz val="6"/>
      <name val="Arial"/>
      <family val="2"/>
    </font>
    <font>
      <b/>
      <i/>
      <u/>
      <sz val="10"/>
      <name val="Arial"/>
      <family val="2"/>
    </font>
    <font>
      <b/>
      <i/>
      <u/>
      <sz val="11"/>
      <name val="Arial"/>
      <family val="2"/>
    </font>
    <font>
      <b/>
      <i/>
      <sz val="11"/>
      <name val="Arial"/>
      <family val="2"/>
    </font>
    <font>
      <sz val="7.5"/>
      <name val="Arial"/>
      <family val="2"/>
    </font>
    <font>
      <b/>
      <sz val="11"/>
      <color indexed="10"/>
      <name val="Calibri"/>
      <family val="2"/>
    </font>
    <font>
      <b/>
      <sz val="11"/>
      <color indexed="8"/>
      <name val="Arial"/>
      <family val="2"/>
    </font>
    <font>
      <b/>
      <sz val="11"/>
      <color indexed="51"/>
      <name val="Calibri"/>
      <family val="2"/>
    </font>
    <font>
      <u/>
      <sz val="11"/>
      <color indexed="8"/>
      <name val="Calibri"/>
      <family val="2"/>
    </font>
    <font>
      <sz val="11"/>
      <color indexed="10"/>
      <name val="Calibri"/>
      <family val="2"/>
    </font>
    <font>
      <b/>
      <sz val="11"/>
      <color indexed="8"/>
      <name val="Calibri"/>
      <family val="2"/>
    </font>
    <font>
      <b/>
      <sz val="11"/>
      <color indexed="62"/>
      <name val="Calibri"/>
      <family val="2"/>
    </font>
    <font>
      <b/>
      <sz val="11"/>
      <color indexed="62"/>
      <name val="Calibri"/>
      <family val="2"/>
    </font>
    <font>
      <b/>
      <u/>
      <sz val="11"/>
      <color indexed="62"/>
      <name val="Calibri"/>
      <family val="2"/>
    </font>
    <font>
      <b/>
      <sz val="11"/>
      <color indexed="62"/>
      <name val="Calibri"/>
      <family val="2"/>
    </font>
    <font>
      <b/>
      <sz val="11"/>
      <color indexed="10"/>
      <name val="Calibri"/>
      <family val="2"/>
    </font>
    <font>
      <sz val="11"/>
      <color theme="4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8"/>
      <color theme="4" tint="-0.499984740745262"/>
      <name val="Calibri"/>
      <family val="2"/>
      <scheme val="minor"/>
    </font>
    <font>
      <b/>
      <sz val="8"/>
      <name val="Arial"/>
      <family val="2"/>
    </font>
    <font>
      <sz val="10"/>
      <color theme="4" tint="-0.499984740745262"/>
      <name val="Arial"/>
      <family val="2"/>
    </font>
    <font>
      <sz val="9"/>
      <color theme="4" tint="-0.499984740745262"/>
      <name val="Arial"/>
      <family val="2"/>
    </font>
    <font>
      <b/>
      <sz val="9"/>
      <color theme="4" tint="-0.499984740745262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5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double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double">
        <color indexed="64"/>
      </right>
      <top style="medium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hair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 style="medium">
        <color indexed="64"/>
      </bottom>
      <diagonal/>
    </border>
    <border>
      <left style="double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22"/>
      </left>
      <right/>
      <top/>
      <bottom/>
      <diagonal/>
    </border>
    <border>
      <left style="medium">
        <color indexed="64"/>
      </left>
      <right style="thin">
        <color indexed="22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22"/>
      </right>
      <top style="medium">
        <color indexed="64"/>
      </top>
      <bottom/>
      <diagonal/>
    </border>
    <border>
      <left style="thin">
        <color indexed="22"/>
      </left>
      <right style="thin">
        <color indexed="22"/>
      </right>
      <top style="medium">
        <color indexed="64"/>
      </top>
      <bottom/>
      <diagonal/>
    </border>
    <border>
      <left style="thin">
        <color indexed="22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10"/>
      </left>
      <right style="thin">
        <color indexed="64"/>
      </right>
      <top style="medium">
        <color indexed="10"/>
      </top>
      <bottom style="thin">
        <color indexed="64"/>
      </bottom>
      <diagonal/>
    </border>
    <border>
      <left style="thin">
        <color indexed="64"/>
      </left>
      <right/>
      <top style="medium">
        <color indexed="1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10"/>
      </top>
      <bottom style="thin">
        <color indexed="64"/>
      </bottom>
      <diagonal/>
    </border>
    <border>
      <left style="medium">
        <color indexed="1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10"/>
      </left>
      <right style="thin">
        <color indexed="64"/>
      </right>
      <top style="thin">
        <color indexed="64"/>
      </top>
      <bottom style="medium">
        <color indexed="10"/>
      </bottom>
      <diagonal/>
    </border>
    <border>
      <left style="thin">
        <color indexed="64"/>
      </left>
      <right/>
      <top style="thin">
        <color indexed="64"/>
      </top>
      <bottom style="medium">
        <color indexed="1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1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8"/>
      </left>
      <right/>
      <top style="thick">
        <color indexed="8"/>
      </top>
      <bottom style="thin">
        <color indexed="64"/>
      </bottom>
      <diagonal/>
    </border>
    <border>
      <left/>
      <right/>
      <top style="thick">
        <color indexed="8"/>
      </top>
      <bottom style="thin">
        <color indexed="64"/>
      </bottom>
      <diagonal/>
    </border>
    <border>
      <left style="medium">
        <color indexed="64"/>
      </left>
      <right/>
      <top style="thick">
        <color indexed="8"/>
      </top>
      <bottom style="thin">
        <color indexed="64"/>
      </bottom>
      <diagonal/>
    </border>
    <border>
      <left/>
      <right style="medium">
        <color indexed="64"/>
      </right>
      <top style="thick">
        <color indexed="8"/>
      </top>
      <bottom style="thin">
        <color indexed="64"/>
      </bottom>
      <diagonal/>
    </border>
    <border>
      <left/>
      <right style="thick">
        <color indexed="8"/>
      </right>
      <top style="thick">
        <color indexed="8"/>
      </top>
      <bottom style="thin">
        <color indexed="64"/>
      </bottom>
      <diagonal/>
    </border>
    <border>
      <left style="thick">
        <color indexed="8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8"/>
      </right>
      <top style="thin">
        <color indexed="64"/>
      </top>
      <bottom style="thin">
        <color indexed="64"/>
      </bottom>
      <diagonal/>
    </border>
    <border>
      <left style="thick">
        <color indexed="8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8"/>
      </right>
      <top/>
      <bottom/>
      <diagonal/>
    </border>
    <border>
      <left style="thick">
        <color indexed="8"/>
      </left>
      <right/>
      <top style="thin">
        <color indexed="64"/>
      </top>
      <bottom style="thick">
        <color indexed="8"/>
      </bottom>
      <diagonal/>
    </border>
    <border>
      <left/>
      <right/>
      <top/>
      <bottom style="thick">
        <color indexed="8"/>
      </bottom>
      <diagonal/>
    </border>
    <border>
      <left style="medium">
        <color indexed="64"/>
      </left>
      <right/>
      <top style="thin">
        <color indexed="64"/>
      </top>
      <bottom style="thick">
        <color indexed="8"/>
      </bottom>
      <diagonal/>
    </border>
    <border>
      <left/>
      <right/>
      <top style="thin">
        <color indexed="64"/>
      </top>
      <bottom style="thick">
        <color indexed="8"/>
      </bottom>
      <diagonal/>
    </border>
    <border>
      <left/>
      <right style="medium">
        <color indexed="64"/>
      </right>
      <top style="thin">
        <color indexed="64"/>
      </top>
      <bottom style="thick">
        <color indexed="8"/>
      </bottom>
      <diagonal/>
    </border>
    <border>
      <left style="medium">
        <color indexed="64"/>
      </left>
      <right/>
      <top/>
      <bottom style="thick">
        <color indexed="8"/>
      </bottom>
      <diagonal/>
    </border>
    <border>
      <left/>
      <right style="thick">
        <color indexed="8"/>
      </right>
      <top/>
      <bottom style="thick">
        <color indexed="8"/>
      </bottom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94">
    <xf numFmtId="0" fontId="0" fillId="0" borderId="0" xfId="0"/>
    <xf numFmtId="0" fontId="0" fillId="0" borderId="0" xfId="0" applyAlignment="1">
      <alignment horizontal="centerContinuous"/>
    </xf>
    <xf numFmtId="0" fontId="0" fillId="2" borderId="0" xfId="0" applyFill="1"/>
    <xf numFmtId="0" fontId="0" fillId="0" borderId="1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6" fillId="2" borderId="0" xfId="0" applyFont="1" applyFill="1"/>
    <xf numFmtId="0" fontId="6" fillId="2" borderId="0" xfId="0" applyFont="1" applyFill="1" applyAlignment="1" applyProtection="1">
      <alignment horizontal="right"/>
      <protection hidden="1"/>
    </xf>
    <xf numFmtId="0" fontId="6" fillId="2" borderId="0" xfId="0" applyFont="1" applyFill="1" applyProtection="1">
      <protection hidden="1"/>
    </xf>
    <xf numFmtId="14" fontId="6" fillId="2" borderId="0" xfId="0" applyNumberFormat="1" applyFont="1" applyFill="1" applyAlignment="1" applyProtection="1">
      <alignment horizontal="left"/>
      <protection hidden="1"/>
    </xf>
    <xf numFmtId="0" fontId="8" fillId="2" borderId="0" xfId="0" applyFont="1" applyFill="1" applyProtection="1">
      <protection hidden="1"/>
    </xf>
    <xf numFmtId="0" fontId="13" fillId="2" borderId="0" xfId="0" applyFont="1" applyFill="1"/>
    <xf numFmtId="164" fontId="8" fillId="2" borderId="9" xfId="0" applyNumberFormat="1" applyFont="1" applyFill="1" applyBorder="1" applyAlignment="1" applyProtection="1">
      <alignment horizontal="centerContinuous"/>
      <protection hidden="1"/>
    </xf>
    <xf numFmtId="0" fontId="14" fillId="2" borderId="0" xfId="0" applyFont="1" applyFill="1" applyAlignment="1">
      <alignment vertical="center"/>
    </xf>
    <xf numFmtId="0" fontId="14" fillId="2" borderId="0" xfId="0" applyFont="1" applyFill="1" applyAlignment="1">
      <alignment horizontal="centerContinuous" vertical="center"/>
    </xf>
    <xf numFmtId="49" fontId="8" fillId="2" borderId="0" xfId="0" applyNumberFormat="1" applyFont="1" applyFill="1" applyAlignment="1">
      <alignment horizontal="center"/>
    </xf>
    <xf numFmtId="0" fontId="6" fillId="2" borderId="11" xfId="0" applyFont="1" applyFill="1" applyBorder="1"/>
    <xf numFmtId="0" fontId="6" fillId="2" borderId="12" xfId="0" applyFont="1" applyFill="1" applyBorder="1"/>
    <xf numFmtId="0" fontId="6" fillId="2" borderId="12" xfId="0" applyFont="1" applyFill="1" applyBorder="1" applyAlignment="1">
      <alignment horizontal="right"/>
    </xf>
    <xf numFmtId="0" fontId="6" fillId="2" borderId="12" xfId="0" applyFont="1" applyFill="1" applyBorder="1" applyProtection="1">
      <protection hidden="1"/>
    </xf>
    <xf numFmtId="0" fontId="6" fillId="2" borderId="13" xfId="0" applyFont="1" applyFill="1" applyBorder="1"/>
    <xf numFmtId="164" fontId="6" fillId="2" borderId="12" xfId="0" applyNumberFormat="1" applyFont="1" applyFill="1" applyBorder="1" applyAlignment="1" applyProtection="1">
      <alignment horizontal="right"/>
      <protection hidden="1"/>
    </xf>
    <xf numFmtId="0" fontId="6" fillId="2" borderId="12" xfId="0" applyFont="1" applyFill="1" applyBorder="1" applyAlignment="1" applyProtection="1">
      <alignment horizontal="left"/>
      <protection hidden="1"/>
    </xf>
    <xf numFmtId="0" fontId="6" fillId="2" borderId="14" xfId="0" applyFont="1" applyFill="1" applyBorder="1" applyProtection="1">
      <protection hidden="1"/>
    </xf>
    <xf numFmtId="0" fontId="6" fillId="2" borderId="15" xfId="0" applyFont="1" applyFill="1" applyBorder="1"/>
    <xf numFmtId="0" fontId="6" fillId="2" borderId="9" xfId="0" applyFont="1" applyFill="1" applyBorder="1"/>
    <xf numFmtId="0" fontId="6" fillId="2" borderId="9" xfId="0" applyFont="1" applyFill="1" applyBorder="1" applyAlignment="1">
      <alignment horizontal="right"/>
    </xf>
    <xf numFmtId="0" fontId="6" fillId="2" borderId="9" xfId="0" applyFont="1" applyFill="1" applyBorder="1" applyProtection="1">
      <protection hidden="1"/>
    </xf>
    <xf numFmtId="164" fontId="6" fillId="2" borderId="9" xfId="0" applyNumberFormat="1" applyFont="1" applyFill="1" applyBorder="1" applyAlignment="1" applyProtection="1">
      <alignment horizontal="right"/>
      <protection hidden="1"/>
    </xf>
    <xf numFmtId="0" fontId="6" fillId="2" borderId="9" xfId="0" applyFont="1" applyFill="1" applyBorder="1" applyAlignment="1" applyProtection="1">
      <alignment horizontal="left"/>
      <protection hidden="1"/>
    </xf>
    <xf numFmtId="0" fontId="6" fillId="2" borderId="10" xfId="0" applyFont="1" applyFill="1" applyBorder="1" applyProtection="1">
      <protection hidden="1"/>
    </xf>
    <xf numFmtId="164" fontId="6" fillId="2" borderId="9" xfId="0" applyNumberFormat="1" applyFont="1" applyFill="1" applyBorder="1" applyAlignment="1" applyProtection="1">
      <alignment horizontal="left"/>
      <protection hidden="1"/>
    </xf>
    <xf numFmtId="164" fontId="6" fillId="2" borderId="0" xfId="0" applyNumberFormat="1" applyFont="1" applyFill="1"/>
    <xf numFmtId="164" fontId="6" fillId="2" borderId="16" xfId="0" applyNumberFormat="1" applyFont="1" applyFill="1" applyBorder="1" applyAlignment="1" applyProtection="1">
      <alignment horizontal="right"/>
      <protection hidden="1"/>
    </xf>
    <xf numFmtId="0" fontId="6" fillId="2" borderId="17" xfId="0" applyFont="1" applyFill="1" applyBorder="1" applyAlignment="1">
      <alignment horizontal="right"/>
    </xf>
    <xf numFmtId="164" fontId="6" fillId="2" borderId="10" xfId="0" applyNumberFormat="1" applyFont="1" applyFill="1" applyBorder="1" applyAlignment="1" applyProtection="1">
      <alignment horizontal="left"/>
      <protection hidden="1"/>
    </xf>
    <xf numFmtId="0" fontId="6" fillId="2" borderId="18" xfId="0" applyFont="1" applyFill="1" applyBorder="1"/>
    <xf numFmtId="0" fontId="6" fillId="2" borderId="19" xfId="0" applyFont="1" applyFill="1" applyBorder="1"/>
    <xf numFmtId="0" fontId="6" fillId="2" borderId="20" xfId="0" applyFont="1" applyFill="1" applyBorder="1"/>
    <xf numFmtId="0" fontId="6" fillId="2" borderId="21" xfId="0" applyFont="1" applyFill="1" applyBorder="1"/>
    <xf numFmtId="0" fontId="6" fillId="2" borderId="22" xfId="0" applyFont="1" applyFill="1" applyBorder="1"/>
    <xf numFmtId="0" fontId="6" fillId="2" borderId="23" xfId="0" applyFont="1" applyFill="1" applyBorder="1" applyAlignment="1">
      <alignment horizontal="left"/>
    </xf>
    <xf numFmtId="0" fontId="0" fillId="2" borderId="17" xfId="0" applyFill="1" applyBorder="1" applyAlignment="1">
      <alignment horizontal="left"/>
    </xf>
    <xf numFmtId="14" fontId="6" fillId="2" borderId="17" xfId="0" applyNumberFormat="1" applyFont="1" applyFill="1" applyBorder="1" applyAlignment="1" applyProtection="1">
      <alignment horizontal="centerContinuous"/>
      <protection hidden="1"/>
    </xf>
    <xf numFmtId="0" fontId="6" fillId="2" borderId="17" xfId="0" applyFont="1" applyFill="1" applyBorder="1" applyAlignment="1" applyProtection="1">
      <alignment horizontal="center"/>
      <protection hidden="1"/>
    </xf>
    <xf numFmtId="0" fontId="6" fillId="2" borderId="17" xfId="0" applyFont="1" applyFill="1" applyBorder="1" applyAlignment="1">
      <alignment horizontal="left"/>
    </xf>
    <xf numFmtId="14" fontId="6" fillId="2" borderId="24" xfId="0" applyNumberFormat="1" applyFont="1" applyFill="1" applyBorder="1" applyAlignment="1" applyProtection="1">
      <alignment horizontal="centerContinuous"/>
      <protection hidden="1"/>
    </xf>
    <xf numFmtId="0" fontId="6" fillId="2" borderId="15" xfId="0" applyFont="1" applyFill="1" applyBorder="1" applyAlignment="1">
      <alignment horizontal="left"/>
    </xf>
    <xf numFmtId="0" fontId="0" fillId="2" borderId="9" xfId="0" applyFill="1" applyBorder="1" applyAlignment="1">
      <alignment horizontal="left"/>
    </xf>
    <xf numFmtId="14" fontId="6" fillId="2" borderId="9" xfId="0" applyNumberFormat="1" applyFont="1" applyFill="1" applyBorder="1" applyAlignment="1" applyProtection="1">
      <alignment horizontal="centerContinuous"/>
      <protection hidden="1"/>
    </xf>
    <xf numFmtId="0" fontId="6" fillId="2" borderId="9" xfId="0" applyFont="1" applyFill="1" applyBorder="1" applyAlignment="1" applyProtection="1">
      <alignment horizontal="center"/>
      <protection hidden="1"/>
    </xf>
    <xf numFmtId="0" fontId="6" fillId="2" borderId="9" xfId="0" applyFont="1" applyFill="1" applyBorder="1" applyAlignment="1">
      <alignment horizontal="left"/>
    </xf>
    <xf numFmtId="14" fontId="6" fillId="2" borderId="10" xfId="0" applyNumberFormat="1" applyFont="1" applyFill="1" applyBorder="1" applyAlignment="1" applyProtection="1">
      <alignment horizontal="centerContinuous"/>
      <protection hidden="1"/>
    </xf>
    <xf numFmtId="0" fontId="6" fillId="2" borderId="15" xfId="0" applyFont="1" applyFill="1" applyBorder="1" applyAlignment="1" applyProtection="1">
      <alignment horizontal="left"/>
      <protection hidden="1"/>
    </xf>
    <xf numFmtId="0" fontId="7" fillId="2" borderId="18" xfId="0" applyFont="1" applyFill="1" applyBorder="1" applyAlignment="1" applyProtection="1">
      <alignment horizontal="left"/>
      <protection hidden="1"/>
    </xf>
    <xf numFmtId="0" fontId="7" fillId="2" borderId="19" xfId="0" applyFont="1" applyFill="1" applyBorder="1" applyAlignment="1" applyProtection="1">
      <alignment horizontal="left"/>
      <protection hidden="1"/>
    </xf>
    <xf numFmtId="0" fontId="0" fillId="2" borderId="19" xfId="0" applyFill="1" applyBorder="1"/>
    <xf numFmtId="14" fontId="7" fillId="2" borderId="19" xfId="0" applyNumberFormat="1" applyFont="1" applyFill="1" applyBorder="1" applyAlignment="1" applyProtection="1">
      <alignment horizontal="center"/>
      <protection hidden="1"/>
    </xf>
    <xf numFmtId="0" fontId="7" fillId="2" borderId="19" xfId="0" applyFont="1" applyFill="1" applyBorder="1" applyAlignment="1" applyProtection="1">
      <alignment horizontal="center"/>
      <protection hidden="1"/>
    </xf>
    <xf numFmtId="0" fontId="0" fillId="2" borderId="20" xfId="0" applyFill="1" applyBorder="1"/>
    <xf numFmtId="0" fontId="7" fillId="2" borderId="0" xfId="0" applyFont="1" applyFill="1" applyAlignment="1" applyProtection="1">
      <alignment horizontal="left"/>
      <protection hidden="1"/>
    </xf>
    <xf numFmtId="14" fontId="7" fillId="2" borderId="0" xfId="0" applyNumberFormat="1" applyFont="1" applyFill="1" applyAlignment="1" applyProtection="1">
      <alignment horizontal="center"/>
      <protection hidden="1"/>
    </xf>
    <xf numFmtId="0" fontId="7" fillId="2" borderId="0" xfId="0" applyFont="1" applyFill="1" applyAlignment="1" applyProtection="1">
      <alignment horizontal="center"/>
      <protection hidden="1"/>
    </xf>
    <xf numFmtId="0" fontId="6" fillId="2" borderId="25" xfId="0" applyFont="1" applyFill="1" applyBorder="1" applyAlignment="1">
      <alignment horizontal="left"/>
    </xf>
    <xf numFmtId="0" fontId="6" fillId="2" borderId="26" xfId="0" applyFont="1" applyFill="1" applyBorder="1" applyAlignment="1">
      <alignment horizontal="left"/>
    </xf>
    <xf numFmtId="0" fontId="6" fillId="2" borderId="27" xfId="0" applyFont="1" applyFill="1" applyBorder="1" applyAlignment="1">
      <alignment horizontal="left"/>
    </xf>
    <xf numFmtId="0" fontId="7" fillId="2" borderId="26" xfId="0" applyFont="1" applyFill="1" applyBorder="1" applyAlignment="1">
      <alignment horizontal="center"/>
    </xf>
    <xf numFmtId="0" fontId="6" fillId="2" borderId="28" xfId="0" applyFont="1" applyFill="1" applyBorder="1" applyAlignment="1">
      <alignment horizontal="centerContinuous" vertical="center"/>
    </xf>
    <xf numFmtId="0" fontId="6" fillId="2" borderId="29" xfId="0" applyFont="1" applyFill="1" applyBorder="1" applyAlignment="1">
      <alignment horizontal="centerContinuous" vertical="center"/>
    </xf>
    <xf numFmtId="0" fontId="6" fillId="2" borderId="27" xfId="0" applyFont="1" applyFill="1" applyBorder="1" applyAlignment="1">
      <alignment horizontal="centerContinuous" vertical="center"/>
    </xf>
    <xf numFmtId="0" fontId="6" fillId="2" borderId="30" xfId="0" applyFont="1" applyFill="1" applyBorder="1" applyAlignment="1">
      <alignment horizontal="centerContinuous" vertical="center"/>
    </xf>
    <xf numFmtId="0" fontId="6" fillId="2" borderId="31" xfId="0" applyFont="1" applyFill="1" applyBorder="1" applyAlignment="1">
      <alignment horizontal="left" vertical="center" wrapText="1"/>
    </xf>
    <xf numFmtId="0" fontId="6" fillId="2" borderId="32" xfId="0" applyFont="1" applyFill="1" applyBorder="1" applyAlignment="1">
      <alignment horizontal="left" vertical="center" wrapText="1"/>
    </xf>
    <xf numFmtId="0" fontId="6" fillId="2" borderId="33" xfId="0" applyFont="1" applyFill="1" applyBorder="1" applyAlignment="1">
      <alignment horizontal="left" vertical="center" wrapText="1"/>
    </xf>
    <xf numFmtId="0" fontId="6" fillId="2" borderId="34" xfId="0" applyFont="1" applyFill="1" applyBorder="1"/>
    <xf numFmtId="0" fontId="6" fillId="2" borderId="34" xfId="0" applyFont="1" applyFill="1" applyBorder="1" applyAlignment="1">
      <alignment horizontal="right"/>
    </xf>
    <xf numFmtId="0" fontId="6" fillId="2" borderId="35" xfId="0" applyFont="1" applyFill="1" applyBorder="1"/>
    <xf numFmtId="0" fontId="6" fillId="2" borderId="36" xfId="0" applyFont="1" applyFill="1" applyBorder="1" applyAlignment="1">
      <alignment horizontal="center"/>
    </xf>
    <xf numFmtId="0" fontId="6" fillId="2" borderId="34" xfId="0" applyFont="1" applyFill="1" applyBorder="1" applyProtection="1">
      <protection hidden="1"/>
    </xf>
    <xf numFmtId="4" fontId="6" fillId="2" borderId="34" xfId="0" applyNumberFormat="1" applyFont="1" applyFill="1" applyBorder="1" applyAlignment="1" applyProtection="1">
      <alignment horizontal="right"/>
      <protection hidden="1"/>
    </xf>
    <xf numFmtId="4" fontId="6" fillId="2" borderId="34" xfId="0" applyNumberFormat="1" applyFont="1" applyFill="1" applyBorder="1" applyProtection="1">
      <protection hidden="1"/>
    </xf>
    <xf numFmtId="0" fontId="6" fillId="2" borderId="35" xfId="0" applyFont="1" applyFill="1" applyBorder="1" applyProtection="1">
      <protection hidden="1"/>
    </xf>
    <xf numFmtId="0" fontId="6" fillId="2" borderId="37" xfId="0" applyFont="1" applyFill="1" applyBorder="1" applyProtection="1">
      <protection hidden="1"/>
    </xf>
    <xf numFmtId="0" fontId="6" fillId="2" borderId="38" xfId="0" applyFont="1" applyFill="1" applyBorder="1" applyProtection="1">
      <protection hidden="1"/>
    </xf>
    <xf numFmtId="0" fontId="6" fillId="2" borderId="39" xfId="0" applyFont="1" applyFill="1" applyBorder="1" applyAlignment="1">
      <alignment horizontal="left" vertical="center" wrapText="1"/>
    </xf>
    <xf numFmtId="0" fontId="6" fillId="2" borderId="0" xfId="0" applyFont="1" applyFill="1" applyAlignment="1">
      <alignment horizontal="left" vertical="center" wrapText="1"/>
    </xf>
    <xf numFmtId="0" fontId="6" fillId="2" borderId="22" xfId="0" applyFont="1" applyFill="1" applyBorder="1" applyAlignment="1">
      <alignment horizontal="left" vertical="center" wrapText="1"/>
    </xf>
    <xf numFmtId="0" fontId="6" fillId="2" borderId="10" xfId="0" applyFont="1" applyFill="1" applyBorder="1"/>
    <xf numFmtId="0" fontId="6" fillId="2" borderId="40" xfId="0" applyFont="1" applyFill="1" applyBorder="1" applyAlignment="1">
      <alignment horizontal="center"/>
    </xf>
    <xf numFmtId="4" fontId="6" fillId="2" borderId="9" xfId="0" applyNumberFormat="1" applyFont="1" applyFill="1" applyBorder="1" applyAlignment="1" applyProtection="1">
      <alignment horizontal="right"/>
      <protection hidden="1"/>
    </xf>
    <xf numFmtId="4" fontId="6" fillId="2" borderId="9" xfId="0" applyNumberFormat="1" applyFont="1" applyFill="1" applyBorder="1" applyProtection="1">
      <protection hidden="1"/>
    </xf>
    <xf numFmtId="0" fontId="6" fillId="2" borderId="15" xfId="0" applyFont="1" applyFill="1" applyBorder="1" applyProtection="1">
      <protection hidden="1"/>
    </xf>
    <xf numFmtId="0" fontId="6" fillId="2" borderId="41" xfId="0" applyFont="1" applyFill="1" applyBorder="1" applyProtection="1">
      <protection hidden="1"/>
    </xf>
    <xf numFmtId="0" fontId="6" fillId="2" borderId="24" xfId="0" applyFont="1" applyFill="1" applyBorder="1"/>
    <xf numFmtId="0" fontId="6" fillId="2" borderId="42" xfId="0" applyFont="1" applyFill="1" applyBorder="1" applyAlignment="1">
      <alignment horizontal="center"/>
    </xf>
    <xf numFmtId="0" fontId="6" fillId="2" borderId="17" xfId="0" applyFont="1" applyFill="1" applyBorder="1" applyProtection="1">
      <protection hidden="1"/>
    </xf>
    <xf numFmtId="4" fontId="6" fillId="2" borderId="17" xfId="0" applyNumberFormat="1" applyFont="1" applyFill="1" applyBorder="1" applyAlignment="1" applyProtection="1">
      <alignment horizontal="right"/>
      <protection hidden="1"/>
    </xf>
    <xf numFmtId="4" fontId="6" fillId="2" borderId="17" xfId="0" applyNumberFormat="1" applyFont="1" applyFill="1" applyBorder="1" applyProtection="1">
      <protection hidden="1"/>
    </xf>
    <xf numFmtId="0" fontId="6" fillId="2" borderId="24" xfId="0" applyFont="1" applyFill="1" applyBorder="1" applyProtection="1">
      <protection hidden="1"/>
    </xf>
    <xf numFmtId="0" fontId="6" fillId="2" borderId="23" xfId="0" applyFont="1" applyFill="1" applyBorder="1" applyProtection="1">
      <protection hidden="1"/>
    </xf>
    <xf numFmtId="0" fontId="6" fillId="2" borderId="43" xfId="0" applyFont="1" applyFill="1" applyBorder="1" applyProtection="1">
      <protection hidden="1"/>
    </xf>
    <xf numFmtId="0" fontId="6" fillId="2" borderId="44" xfId="0" applyFont="1" applyFill="1" applyBorder="1" applyAlignment="1">
      <alignment horizontal="left" vertical="center" wrapText="1"/>
    </xf>
    <xf numFmtId="0" fontId="6" fillId="2" borderId="19" xfId="0" applyFont="1" applyFill="1" applyBorder="1" applyAlignment="1">
      <alignment horizontal="left" vertical="center" wrapText="1"/>
    </xf>
    <xf numFmtId="0" fontId="6" fillId="2" borderId="20" xfId="0" applyFont="1" applyFill="1" applyBorder="1" applyAlignment="1">
      <alignment horizontal="left" vertical="center" wrapText="1"/>
    </xf>
    <xf numFmtId="0" fontId="6" fillId="2" borderId="45" xfId="0" applyFont="1" applyFill="1" applyBorder="1"/>
    <xf numFmtId="0" fontId="6" fillId="2" borderId="45" xfId="0" applyFont="1" applyFill="1" applyBorder="1" applyAlignment="1">
      <alignment horizontal="right"/>
    </xf>
    <xf numFmtId="0" fontId="6" fillId="2" borderId="46" xfId="0" applyFont="1" applyFill="1" applyBorder="1"/>
    <xf numFmtId="0" fontId="6" fillId="2" borderId="47" xfId="0" applyFont="1" applyFill="1" applyBorder="1" applyAlignment="1">
      <alignment horizontal="center"/>
    </xf>
    <xf numFmtId="0" fontId="6" fillId="2" borderId="45" xfId="0" applyFont="1" applyFill="1" applyBorder="1" applyProtection="1">
      <protection hidden="1"/>
    </xf>
    <xf numFmtId="4" fontId="6" fillId="2" borderId="45" xfId="0" applyNumberFormat="1" applyFont="1" applyFill="1" applyBorder="1" applyProtection="1">
      <protection hidden="1"/>
    </xf>
    <xf numFmtId="0" fontId="6" fillId="2" borderId="46" xfId="0" applyFont="1" applyFill="1" applyBorder="1" applyProtection="1">
      <protection hidden="1"/>
    </xf>
    <xf numFmtId="0" fontId="6" fillId="2" borderId="48" xfId="0" applyFont="1" applyFill="1" applyBorder="1" applyProtection="1">
      <protection hidden="1"/>
    </xf>
    <xf numFmtId="0" fontId="6" fillId="2" borderId="49" xfId="0" applyFont="1" applyFill="1" applyBorder="1" applyProtection="1">
      <protection hidden="1"/>
    </xf>
    <xf numFmtId="0" fontId="6" fillId="2" borderId="50" xfId="0" applyFont="1" applyFill="1" applyBorder="1" applyAlignment="1">
      <alignment horizontal="left" vertical="center" wrapText="1"/>
    </xf>
    <xf numFmtId="0" fontId="6" fillId="2" borderId="13" xfId="0" applyFont="1" applyFill="1" applyBorder="1" applyAlignment="1">
      <alignment horizontal="left" vertical="center" wrapText="1"/>
    </xf>
    <xf numFmtId="0" fontId="6" fillId="2" borderId="51" xfId="0" applyFont="1" applyFill="1" applyBorder="1" applyAlignment="1">
      <alignment horizontal="left" vertical="center" wrapText="1"/>
    </xf>
    <xf numFmtId="0" fontId="6" fillId="2" borderId="52" xfId="0" applyFont="1" applyFill="1" applyBorder="1" applyAlignment="1">
      <alignment horizontal="center"/>
    </xf>
    <xf numFmtId="4" fontId="6" fillId="2" borderId="12" xfId="0" applyNumberFormat="1" applyFont="1" applyFill="1" applyBorder="1" applyAlignment="1" applyProtection="1">
      <alignment horizontal="right"/>
      <protection hidden="1"/>
    </xf>
    <xf numFmtId="4" fontId="6" fillId="2" borderId="12" xfId="0" applyNumberFormat="1" applyFont="1" applyFill="1" applyBorder="1" applyProtection="1">
      <protection hidden="1"/>
    </xf>
    <xf numFmtId="0" fontId="6" fillId="2" borderId="11" xfId="0" applyFont="1" applyFill="1" applyBorder="1" applyProtection="1">
      <protection hidden="1"/>
    </xf>
    <xf numFmtId="0" fontId="6" fillId="2" borderId="53" xfId="0" applyFont="1" applyFill="1" applyBorder="1" applyProtection="1">
      <protection hidden="1"/>
    </xf>
    <xf numFmtId="0" fontId="6" fillId="2" borderId="14" xfId="0" applyFont="1" applyFill="1" applyBorder="1"/>
    <xf numFmtId="0" fontId="6" fillId="2" borderId="15" xfId="0" applyFont="1" applyFill="1" applyBorder="1" applyAlignment="1">
      <alignment horizontal="right"/>
    </xf>
    <xf numFmtId="0" fontId="6" fillId="2" borderId="48" xfId="0" applyFont="1" applyFill="1" applyBorder="1" applyAlignment="1">
      <alignment horizontal="right"/>
    </xf>
    <xf numFmtId="0" fontId="6" fillId="2" borderId="54" xfId="0" applyFont="1" applyFill="1" applyBorder="1"/>
    <xf numFmtId="0" fontId="6" fillId="2" borderId="17" xfId="0" applyFont="1" applyFill="1" applyBorder="1"/>
    <xf numFmtId="0" fontId="6" fillId="2" borderId="54" xfId="0" applyFont="1" applyFill="1" applyBorder="1" applyAlignment="1">
      <alignment horizontal="right"/>
    </xf>
    <xf numFmtId="0" fontId="6" fillId="2" borderId="55" xfId="0" applyFont="1" applyFill="1" applyBorder="1"/>
    <xf numFmtId="0" fontId="6" fillId="2" borderId="55" xfId="0" applyFont="1" applyFill="1" applyBorder="1" applyAlignment="1">
      <alignment horizontal="right"/>
    </xf>
    <xf numFmtId="0" fontId="9" fillId="2" borderId="56" xfId="0" applyFont="1" applyFill="1" applyBorder="1"/>
    <xf numFmtId="0" fontId="9" fillId="2" borderId="45" xfId="0" applyFont="1" applyFill="1" applyBorder="1"/>
    <xf numFmtId="0" fontId="6" fillId="2" borderId="56" xfId="0" applyFont="1" applyFill="1" applyBorder="1" applyAlignment="1">
      <alignment horizontal="right"/>
    </xf>
    <xf numFmtId="0" fontId="7" fillId="2" borderId="54" xfId="0" applyFont="1" applyFill="1" applyBorder="1"/>
    <xf numFmtId="0" fontId="7" fillId="2" borderId="17" xfId="0" applyFont="1" applyFill="1" applyBorder="1"/>
    <xf numFmtId="0" fontId="7" fillId="2" borderId="55" xfId="0" applyFont="1" applyFill="1" applyBorder="1"/>
    <xf numFmtId="0" fontId="7" fillId="2" borderId="9" xfId="0" applyFont="1" applyFill="1" applyBorder="1"/>
    <xf numFmtId="166" fontId="6" fillId="2" borderId="9" xfId="0" applyNumberFormat="1" applyFont="1" applyFill="1" applyBorder="1" applyProtection="1">
      <protection hidden="1"/>
    </xf>
    <xf numFmtId="164" fontId="6" fillId="2" borderId="9" xfId="0" applyNumberFormat="1" applyFont="1" applyFill="1" applyBorder="1" applyProtection="1">
      <protection hidden="1"/>
    </xf>
    <xf numFmtId="0" fontId="7" fillId="2" borderId="57" xfId="0" applyFont="1" applyFill="1" applyBorder="1"/>
    <xf numFmtId="0" fontId="7" fillId="2" borderId="58" xfId="0" applyFont="1" applyFill="1" applyBorder="1"/>
    <xf numFmtId="0" fontId="6" fillId="2" borderId="58" xfId="0" applyFont="1" applyFill="1" applyBorder="1"/>
    <xf numFmtId="0" fontId="6" fillId="2" borderId="57" xfId="0" applyFont="1" applyFill="1" applyBorder="1" applyAlignment="1">
      <alignment horizontal="right"/>
    </xf>
    <xf numFmtId="0" fontId="6" fillId="2" borderId="59" xfId="0" applyFont="1" applyFill="1" applyBorder="1"/>
    <xf numFmtId="0" fontId="6" fillId="2" borderId="60" xfId="0" applyFont="1" applyFill="1" applyBorder="1" applyAlignment="1">
      <alignment horizontal="center"/>
    </xf>
    <xf numFmtId="0" fontId="6" fillId="2" borderId="58" xfId="0" applyFont="1" applyFill="1" applyBorder="1" applyProtection="1">
      <protection hidden="1"/>
    </xf>
    <xf numFmtId="0" fontId="6" fillId="2" borderId="59" xfId="0" applyFont="1" applyFill="1" applyBorder="1" applyProtection="1">
      <protection hidden="1"/>
    </xf>
    <xf numFmtId="164" fontId="6" fillId="2" borderId="58" xfId="0" applyNumberFormat="1" applyFont="1" applyFill="1" applyBorder="1" applyProtection="1">
      <protection hidden="1"/>
    </xf>
    <xf numFmtId="0" fontId="6" fillId="2" borderId="61" xfId="0" applyFont="1" applyFill="1" applyBorder="1" applyProtection="1">
      <protection hidden="1"/>
    </xf>
    <xf numFmtId="0" fontId="0" fillId="2" borderId="0" xfId="0" applyFill="1" applyProtection="1">
      <protection hidden="1"/>
    </xf>
    <xf numFmtId="0" fontId="0" fillId="2" borderId="62" xfId="0" applyFill="1" applyBorder="1"/>
    <xf numFmtId="0" fontId="0" fillId="2" borderId="13" xfId="0" applyFill="1" applyBorder="1"/>
    <xf numFmtId="0" fontId="9" fillId="2" borderId="13" xfId="0" applyFont="1" applyFill="1" applyBorder="1" applyAlignment="1" applyProtection="1">
      <alignment horizontal="right" vertical="center"/>
      <protection hidden="1"/>
    </xf>
    <xf numFmtId="0" fontId="0" fillId="2" borderId="51" xfId="0" applyFill="1" applyBorder="1"/>
    <xf numFmtId="0" fontId="9" fillId="2" borderId="32" xfId="0" applyFont="1" applyFill="1" applyBorder="1" applyAlignment="1" applyProtection="1">
      <alignment horizontal="centerContinuous" vertical="center"/>
      <protection hidden="1"/>
    </xf>
    <xf numFmtId="0" fontId="0" fillId="2" borderId="39" xfId="0" applyFill="1" applyBorder="1" applyProtection="1">
      <protection hidden="1"/>
    </xf>
    <xf numFmtId="165" fontId="8" fillId="2" borderId="0" xfId="0" applyNumberFormat="1" applyFont="1" applyFill="1" applyProtection="1">
      <protection hidden="1"/>
    </xf>
    <xf numFmtId="0" fontId="0" fillId="2" borderId="18" xfId="0" applyFill="1" applyBorder="1"/>
    <xf numFmtId="0" fontId="9" fillId="2" borderId="19" xfId="0" applyFont="1" applyFill="1" applyBorder="1" applyAlignment="1" applyProtection="1">
      <alignment horizontal="right" vertical="center"/>
      <protection hidden="1"/>
    </xf>
    <xf numFmtId="0" fontId="9" fillId="2" borderId="63" xfId="0" applyFont="1" applyFill="1" applyBorder="1" applyAlignment="1" applyProtection="1">
      <alignment horizontal="centerContinuous" vertical="center"/>
      <protection hidden="1"/>
    </xf>
    <xf numFmtId="0" fontId="9" fillId="2" borderId="0" xfId="0" applyFont="1" applyFill="1" applyAlignment="1" applyProtection="1">
      <alignment horizontal="right" vertical="center"/>
      <protection hidden="1"/>
    </xf>
    <xf numFmtId="0" fontId="15" fillId="2" borderId="0" xfId="0" applyFont="1" applyFill="1" applyAlignment="1">
      <alignment horizontal="left" wrapText="1"/>
    </xf>
    <xf numFmtId="0" fontId="9" fillId="2" borderId="62" xfId="0" applyFont="1" applyFill="1" applyBorder="1"/>
    <xf numFmtId="0" fontId="7" fillId="2" borderId="13" xfId="0" applyFont="1" applyFill="1" applyBorder="1"/>
    <xf numFmtId="0" fontId="7" fillId="2" borderId="21" xfId="0" applyFont="1" applyFill="1" applyBorder="1" applyAlignment="1" applyProtection="1">
      <alignment horizontal="left" vertical="top" wrapText="1"/>
      <protection hidden="1"/>
    </xf>
    <xf numFmtId="0" fontId="7" fillId="2" borderId="0" xfId="0" applyFont="1" applyFill="1" applyAlignment="1" applyProtection="1">
      <alignment horizontal="left" vertical="top" wrapText="1"/>
      <protection hidden="1"/>
    </xf>
    <xf numFmtId="0" fontId="7" fillId="2" borderId="22" xfId="0" applyFont="1" applyFill="1" applyBorder="1" applyAlignment="1" applyProtection="1">
      <alignment horizontal="left" vertical="top" wrapText="1"/>
      <protection hidden="1"/>
    </xf>
    <xf numFmtId="0" fontId="7" fillId="2" borderId="18" xfId="0" applyFont="1" applyFill="1" applyBorder="1" applyAlignment="1" applyProtection="1">
      <alignment horizontal="left" vertical="top" wrapText="1"/>
      <protection hidden="1"/>
    </xf>
    <xf numFmtId="0" fontId="7" fillId="2" borderId="19" xfId="0" applyFont="1" applyFill="1" applyBorder="1" applyAlignment="1" applyProtection="1">
      <alignment horizontal="left" vertical="top" wrapText="1"/>
      <protection hidden="1"/>
    </xf>
    <xf numFmtId="0" fontId="7" fillId="2" borderId="20" xfId="0" applyFont="1" applyFill="1" applyBorder="1" applyAlignment="1" applyProtection="1">
      <alignment horizontal="left" vertical="top" wrapText="1"/>
      <protection hidden="1"/>
    </xf>
    <xf numFmtId="0" fontId="16" fillId="2" borderId="0" xfId="0" applyFont="1" applyFill="1" applyAlignment="1">
      <alignment vertical="justify" wrapText="1"/>
    </xf>
    <xf numFmtId="0" fontId="17" fillId="2" borderId="0" xfId="0" applyFont="1" applyFill="1" applyAlignment="1">
      <alignment horizontal="right"/>
    </xf>
    <xf numFmtId="0" fontId="18" fillId="2" borderId="0" xfId="0" applyFont="1" applyFill="1"/>
    <xf numFmtId="0" fontId="19" fillId="2" borderId="0" xfId="0" applyFont="1" applyFill="1"/>
    <xf numFmtId="0" fontId="16" fillId="2" borderId="0" xfId="0" applyFont="1" applyFill="1" applyAlignment="1" applyProtection="1">
      <alignment vertical="justify" wrapText="1"/>
      <protection locked="0"/>
    </xf>
    <xf numFmtId="0" fontId="15" fillId="2" borderId="0" xfId="0" applyFont="1" applyFill="1" applyAlignment="1">
      <alignment horizontal="left"/>
    </xf>
    <xf numFmtId="0" fontId="9" fillId="2" borderId="0" xfId="0" applyFont="1" applyFill="1"/>
    <xf numFmtId="0" fontId="20" fillId="2" borderId="0" xfId="0" applyFont="1" applyFill="1"/>
    <xf numFmtId="0" fontId="21" fillId="2" borderId="0" xfId="0" applyFont="1" applyFill="1" applyAlignment="1">
      <alignment horizontal="right"/>
    </xf>
    <xf numFmtId="0" fontId="22" fillId="2" borderId="0" xfId="0" applyFont="1" applyFill="1"/>
    <xf numFmtId="0" fontId="23" fillId="2" borderId="0" xfId="0" applyFont="1" applyFill="1"/>
    <xf numFmtId="0" fontId="24" fillId="2" borderId="0" xfId="0" applyFont="1" applyFill="1"/>
    <xf numFmtId="0" fontId="20" fillId="2" borderId="0" xfId="0" applyFont="1" applyFill="1" applyAlignment="1">
      <alignment horizontal="left"/>
    </xf>
    <xf numFmtId="0" fontId="20" fillId="2" borderId="0" xfId="0" applyFont="1" applyFill="1" applyAlignment="1">
      <alignment horizontal="right"/>
    </xf>
    <xf numFmtId="0" fontId="0" fillId="2" borderId="0" xfId="0" applyFill="1" applyProtection="1">
      <protection locked="0" hidden="1"/>
    </xf>
    <xf numFmtId="0" fontId="7" fillId="2" borderId="0" xfId="0" applyFont="1" applyFill="1" applyAlignment="1" applyProtection="1">
      <alignment horizontal="right"/>
      <protection locked="0" hidden="1"/>
    </xf>
    <xf numFmtId="0" fontId="7" fillId="2" borderId="0" xfId="0" applyFont="1" applyFill="1" applyProtection="1">
      <protection locked="0" hidden="1"/>
    </xf>
    <xf numFmtId="14" fontId="7" fillId="2" borderId="0" xfId="0" applyNumberFormat="1" applyFont="1" applyFill="1" applyAlignment="1" applyProtection="1">
      <alignment horizontal="left"/>
      <protection locked="0" hidden="1"/>
    </xf>
    <xf numFmtId="14" fontId="7" fillId="2" borderId="0" xfId="0" applyNumberFormat="1" applyFont="1" applyFill="1" applyProtection="1">
      <protection locked="0" hidden="1"/>
    </xf>
    <xf numFmtId="0" fontId="0" fillId="2" borderId="9" xfId="0" applyFill="1" applyBorder="1" applyAlignment="1" applyProtection="1">
      <alignment horizontal="left"/>
      <protection locked="0" hidden="1"/>
    </xf>
    <xf numFmtId="0" fontId="0" fillId="2" borderId="10" xfId="0" applyFill="1" applyBorder="1" applyAlignment="1" applyProtection="1">
      <alignment horizontal="left"/>
      <protection locked="0" hidden="1"/>
    </xf>
    <xf numFmtId="164" fontId="8" fillId="2" borderId="9" xfId="0" applyNumberFormat="1" applyFont="1" applyFill="1" applyBorder="1" applyAlignment="1" applyProtection="1">
      <alignment horizontal="centerContinuous"/>
      <protection locked="0" hidden="1"/>
    </xf>
    <xf numFmtId="14" fontId="8" fillId="2" borderId="9" xfId="0" applyNumberFormat="1" applyFont="1" applyFill="1" applyBorder="1" applyAlignment="1" applyProtection="1">
      <alignment horizontal="centerContinuous"/>
      <protection locked="0" hidden="1"/>
    </xf>
    <xf numFmtId="165" fontId="9" fillId="2" borderId="0" xfId="0" applyNumberFormat="1" applyFont="1" applyFill="1" applyProtection="1">
      <protection locked="0" hidden="1"/>
    </xf>
    <xf numFmtId="0" fontId="8" fillId="2" borderId="0" xfId="0" applyFont="1" applyFill="1" applyProtection="1">
      <protection locked="0" hidden="1"/>
    </xf>
    <xf numFmtId="0" fontId="14" fillId="2" borderId="0" xfId="0" applyFont="1" applyFill="1" applyAlignment="1" applyProtection="1">
      <alignment horizontal="centerContinuous" vertical="center"/>
      <protection locked="0" hidden="1"/>
    </xf>
    <xf numFmtId="0" fontId="25" fillId="2" borderId="0" xfId="0" applyFont="1" applyFill="1" applyAlignment="1" applyProtection="1">
      <alignment horizontal="right" vertical="center"/>
      <protection locked="0" hidden="1"/>
    </xf>
    <xf numFmtId="0" fontId="29" fillId="2" borderId="0" xfId="0" applyFont="1" applyFill="1" applyProtection="1">
      <protection locked="0" hidden="1"/>
    </xf>
    <xf numFmtId="0" fontId="26" fillId="2" borderId="0" xfId="0" applyFont="1" applyFill="1" applyAlignment="1" applyProtection="1">
      <alignment horizontal="centerContinuous"/>
      <protection locked="0" hidden="1"/>
    </xf>
    <xf numFmtId="0" fontId="0" fillId="2" borderId="0" xfId="0" applyFill="1" applyAlignment="1" applyProtection="1">
      <alignment horizontal="right"/>
      <protection locked="0" hidden="1"/>
    </xf>
    <xf numFmtId="0" fontId="9" fillId="2" borderId="67" xfId="0" applyFont="1" applyFill="1" applyBorder="1" applyAlignment="1" applyProtection="1">
      <alignment horizontal="centerContinuous" vertical="center"/>
      <protection locked="0" hidden="1"/>
    </xf>
    <xf numFmtId="0" fontId="9" fillId="2" borderId="28" xfId="0" applyFont="1" applyFill="1" applyBorder="1" applyAlignment="1" applyProtection="1">
      <alignment horizontal="centerContinuous" vertical="center"/>
      <protection locked="0" hidden="1"/>
    </xf>
    <xf numFmtId="0" fontId="9" fillId="2" borderId="68" xfId="0" applyFont="1" applyFill="1" applyBorder="1" applyAlignment="1" applyProtection="1">
      <alignment horizontal="centerContinuous" vertical="center"/>
      <protection locked="0" hidden="1"/>
    </xf>
    <xf numFmtId="0" fontId="9" fillId="2" borderId="69" xfId="0" applyFont="1" applyFill="1" applyBorder="1" applyAlignment="1" applyProtection="1">
      <alignment horizontal="centerContinuous" vertical="center"/>
      <protection locked="0" hidden="1"/>
    </xf>
    <xf numFmtId="0" fontId="9" fillId="2" borderId="30" xfId="0" applyFont="1" applyFill="1" applyBorder="1" applyAlignment="1" applyProtection="1">
      <alignment horizontal="centerContinuous" vertical="center"/>
      <protection locked="0" hidden="1"/>
    </xf>
    <xf numFmtId="0" fontId="30" fillId="2" borderId="0" xfId="0" applyFont="1" applyFill="1" applyProtection="1">
      <protection locked="0" hidden="1"/>
    </xf>
    <xf numFmtId="0" fontId="9" fillId="2" borderId="63" xfId="0" applyFont="1" applyFill="1" applyBorder="1" applyAlignment="1" applyProtection="1">
      <alignment horizontal="center" vertical="center"/>
      <protection locked="0" hidden="1"/>
    </xf>
    <xf numFmtId="0" fontId="0" fillId="2" borderId="70" xfId="0" applyFill="1" applyBorder="1" applyAlignment="1" applyProtection="1">
      <alignment horizontal="left" vertical="center" wrapText="1"/>
      <protection locked="0" hidden="1"/>
    </xf>
    <xf numFmtId="0" fontId="0" fillId="2" borderId="71" xfId="0" applyFill="1" applyBorder="1" applyAlignment="1" applyProtection="1">
      <alignment horizontal="left" vertical="center" wrapText="1"/>
      <protection locked="0" hidden="1"/>
    </xf>
    <xf numFmtId="0" fontId="0" fillId="2" borderId="72" xfId="0" applyFill="1" applyBorder="1" applyAlignment="1" applyProtection="1">
      <alignment horizontal="left" vertical="center" wrapText="1"/>
      <protection locked="0" hidden="1"/>
    </xf>
    <xf numFmtId="0" fontId="0" fillId="2" borderId="5" xfId="0" applyFill="1" applyBorder="1" applyAlignment="1" applyProtection="1">
      <alignment horizontal="centerContinuous" vertical="center" wrapText="1"/>
      <protection locked="0" hidden="1"/>
    </xf>
    <xf numFmtId="0" fontId="0" fillId="2" borderId="73" xfId="0" applyFill="1" applyBorder="1" applyAlignment="1" applyProtection="1">
      <alignment horizontal="centerContinuous" vertical="center" wrapText="1"/>
      <protection locked="0" hidden="1"/>
    </xf>
    <xf numFmtId="0" fontId="0" fillId="2" borderId="74" xfId="0" applyFill="1" applyBorder="1" applyAlignment="1" applyProtection="1">
      <alignment horizontal="centerContinuous" vertical="center" wrapText="1"/>
      <protection locked="0" hidden="1"/>
    </xf>
    <xf numFmtId="0" fontId="0" fillId="2" borderId="75" xfId="0" applyFill="1" applyBorder="1" applyAlignment="1" applyProtection="1">
      <alignment horizontal="left" vertical="center" wrapText="1"/>
      <protection locked="0" hidden="1"/>
    </xf>
    <xf numFmtId="0" fontId="0" fillId="2" borderId="76" xfId="0" applyFill="1" applyBorder="1" applyAlignment="1" applyProtection="1">
      <alignment horizontal="centerContinuous" vertical="center" wrapText="1"/>
      <protection locked="0" hidden="1"/>
    </xf>
    <xf numFmtId="0" fontId="0" fillId="2" borderId="77" xfId="0" applyFill="1" applyBorder="1" applyAlignment="1" applyProtection="1">
      <alignment horizontal="left"/>
      <protection locked="0" hidden="1"/>
    </xf>
    <xf numFmtId="0" fontId="0" fillId="2" borderId="12" xfId="0" applyFill="1" applyBorder="1" applyAlignment="1" applyProtection="1">
      <alignment horizontal="left"/>
      <protection locked="0" hidden="1"/>
    </xf>
    <xf numFmtId="0" fontId="0" fillId="2" borderId="14" xfId="0" applyFill="1" applyBorder="1" applyAlignment="1" applyProtection="1">
      <alignment horizontal="left"/>
      <protection locked="0" hidden="1"/>
    </xf>
    <xf numFmtId="2" fontId="8" fillId="2" borderId="11" xfId="0" applyNumberFormat="1" applyFont="1" applyFill="1" applyBorder="1" applyAlignment="1" applyProtection="1">
      <alignment horizontal="centerContinuous"/>
      <protection locked="0" hidden="1"/>
    </xf>
    <xf numFmtId="0" fontId="0" fillId="2" borderId="14" xfId="0" applyFill="1" applyBorder="1" applyAlignment="1" applyProtection="1">
      <alignment horizontal="centerContinuous"/>
      <protection locked="0" hidden="1"/>
    </xf>
    <xf numFmtId="168" fontId="8" fillId="2" borderId="11" xfId="0" applyNumberFormat="1" applyFont="1" applyFill="1" applyBorder="1" applyAlignment="1" applyProtection="1">
      <alignment horizontal="centerContinuous"/>
      <protection locked="0" hidden="1"/>
    </xf>
    <xf numFmtId="168" fontId="0" fillId="2" borderId="14" xfId="0" applyNumberFormat="1" applyFill="1" applyBorder="1" applyAlignment="1" applyProtection="1">
      <alignment horizontal="centerContinuous"/>
      <protection locked="0" hidden="1"/>
    </xf>
    <xf numFmtId="164" fontId="8" fillId="2" borderId="11" xfId="0" applyNumberFormat="1" applyFont="1" applyFill="1" applyBorder="1" applyAlignment="1" applyProtection="1">
      <alignment horizontal="right"/>
      <protection locked="0" hidden="1"/>
    </xf>
    <xf numFmtId="164" fontId="8" fillId="2" borderId="78" xfId="0" applyNumberFormat="1" applyFont="1" applyFill="1" applyBorder="1" applyAlignment="1" applyProtection="1">
      <alignment horizontal="right"/>
      <protection locked="0" hidden="1"/>
    </xf>
    <xf numFmtId="0" fontId="0" fillId="2" borderId="79" xfId="0" applyFill="1" applyBorder="1" applyAlignment="1" applyProtection="1">
      <alignment horizontal="left"/>
      <protection locked="0" hidden="1"/>
    </xf>
    <xf numFmtId="4" fontId="8" fillId="2" borderId="11" xfId="0" applyNumberFormat="1" applyFont="1" applyFill="1" applyBorder="1" applyAlignment="1" applyProtection="1">
      <alignment horizontal="centerContinuous"/>
      <protection locked="0" hidden="1"/>
    </xf>
    <xf numFmtId="4" fontId="8" fillId="2" borderId="14" xfId="0" applyNumberFormat="1" applyFont="1" applyFill="1" applyBorder="1" applyAlignment="1" applyProtection="1">
      <alignment horizontal="centerContinuous"/>
      <protection locked="0" hidden="1"/>
    </xf>
    <xf numFmtId="168" fontId="8" fillId="2" borderId="14" xfId="0" applyNumberFormat="1" applyFont="1" applyFill="1" applyBorder="1" applyAlignment="1" applyProtection="1">
      <alignment horizontal="centerContinuous"/>
      <protection locked="0" hidden="1"/>
    </xf>
    <xf numFmtId="164" fontId="8" fillId="2" borderId="15" xfId="0" applyNumberFormat="1" applyFont="1" applyFill="1" applyBorder="1" applyAlignment="1" applyProtection="1">
      <alignment horizontal="right"/>
      <protection locked="0" hidden="1"/>
    </xf>
    <xf numFmtId="164" fontId="8" fillId="2" borderId="41" xfId="0" applyNumberFormat="1" applyFont="1" applyFill="1" applyBorder="1" applyAlignment="1" applyProtection="1">
      <alignment horizontal="right"/>
      <protection locked="0" hidden="1"/>
    </xf>
    <xf numFmtId="0" fontId="0" fillId="2" borderId="55" xfId="0" applyFill="1" applyBorder="1" applyAlignment="1" applyProtection="1">
      <alignment horizontal="left"/>
      <protection locked="0" hidden="1"/>
    </xf>
    <xf numFmtId="2" fontId="8" fillId="2" borderId="15" xfId="0" applyNumberFormat="1" applyFont="1" applyFill="1" applyBorder="1" applyAlignment="1" applyProtection="1">
      <alignment horizontal="centerContinuous"/>
      <protection locked="0" hidden="1"/>
    </xf>
    <xf numFmtId="0" fontId="0" fillId="2" borderId="10" xfId="0" applyFill="1" applyBorder="1" applyAlignment="1" applyProtection="1">
      <alignment horizontal="centerContinuous"/>
      <protection locked="0" hidden="1"/>
    </xf>
    <xf numFmtId="168" fontId="8" fillId="2" borderId="15" xfId="0" applyNumberFormat="1" applyFont="1" applyFill="1" applyBorder="1" applyAlignment="1" applyProtection="1">
      <alignment horizontal="centerContinuous"/>
      <protection locked="0" hidden="1"/>
    </xf>
    <xf numFmtId="168" fontId="0" fillId="2" borderId="10" xfId="0" applyNumberFormat="1" applyFill="1" applyBorder="1" applyAlignment="1" applyProtection="1">
      <alignment horizontal="centerContinuous"/>
      <protection locked="0" hidden="1"/>
    </xf>
    <xf numFmtId="164" fontId="8" fillId="2" borderId="80" xfId="0" applyNumberFormat="1" applyFont="1" applyFill="1" applyBorder="1" applyAlignment="1" applyProtection="1">
      <alignment horizontal="right"/>
      <protection locked="0" hidden="1"/>
    </xf>
    <xf numFmtId="0" fontId="0" fillId="2" borderId="81" xfId="0" applyFill="1" applyBorder="1" applyAlignment="1" applyProtection="1">
      <alignment horizontal="left"/>
      <protection locked="0" hidden="1"/>
    </xf>
    <xf numFmtId="4" fontId="8" fillId="2" borderId="15" xfId="0" applyNumberFormat="1" applyFont="1" applyFill="1" applyBorder="1" applyAlignment="1" applyProtection="1">
      <alignment horizontal="centerContinuous"/>
      <protection locked="0" hidden="1"/>
    </xf>
    <xf numFmtId="4" fontId="8" fillId="2" borderId="10" xfId="0" applyNumberFormat="1" applyFont="1" applyFill="1" applyBorder="1" applyAlignment="1" applyProtection="1">
      <alignment horizontal="centerContinuous"/>
      <protection locked="0" hidden="1"/>
    </xf>
    <xf numFmtId="168" fontId="8" fillId="2" borderId="10" xfId="0" applyNumberFormat="1" applyFont="1" applyFill="1" applyBorder="1" applyAlignment="1" applyProtection="1">
      <alignment horizontal="centerContinuous"/>
      <protection locked="0" hidden="1"/>
    </xf>
    <xf numFmtId="0" fontId="0" fillId="2" borderId="57" xfId="0" applyFill="1" applyBorder="1" applyAlignment="1" applyProtection="1">
      <alignment horizontal="left"/>
      <protection locked="0" hidden="1"/>
    </xf>
    <xf numFmtId="0" fontId="0" fillId="2" borderId="58" xfId="0" applyFill="1" applyBorder="1" applyAlignment="1" applyProtection="1">
      <alignment horizontal="left"/>
      <protection locked="0" hidden="1"/>
    </xf>
    <xf numFmtId="0" fontId="0" fillId="2" borderId="59" xfId="0" applyFill="1" applyBorder="1" applyAlignment="1" applyProtection="1">
      <alignment horizontal="left"/>
      <protection locked="0" hidden="1"/>
    </xf>
    <xf numFmtId="2" fontId="8" fillId="2" borderId="82" xfId="0" applyNumberFormat="1" applyFont="1" applyFill="1" applyBorder="1" applyAlignment="1" applyProtection="1">
      <alignment horizontal="centerContinuous"/>
      <protection locked="0" hidden="1"/>
    </xf>
    <xf numFmtId="0" fontId="0" fillId="2" borderId="59" xfId="0" applyFill="1" applyBorder="1" applyAlignment="1" applyProtection="1">
      <alignment horizontal="centerContinuous"/>
      <protection locked="0" hidden="1"/>
    </xf>
    <xf numFmtId="164" fontId="8" fillId="2" borderId="82" xfId="0" applyNumberFormat="1" applyFont="1" applyFill="1" applyBorder="1" applyAlignment="1" applyProtection="1">
      <alignment horizontal="right"/>
      <protection locked="0" hidden="1"/>
    </xf>
    <xf numFmtId="0" fontId="0" fillId="2" borderId="83" xfId="0" applyFill="1" applyBorder="1" applyAlignment="1" applyProtection="1">
      <alignment horizontal="left"/>
      <protection locked="0" hidden="1"/>
    </xf>
    <xf numFmtId="4" fontId="8" fillId="2" borderId="82" xfId="0" applyNumberFormat="1" applyFont="1" applyFill="1" applyBorder="1" applyAlignment="1" applyProtection="1">
      <alignment horizontal="centerContinuous"/>
      <protection locked="0" hidden="1"/>
    </xf>
    <xf numFmtId="4" fontId="8" fillId="2" borderId="59" xfId="0" applyNumberFormat="1" applyFont="1" applyFill="1" applyBorder="1" applyAlignment="1" applyProtection="1">
      <alignment horizontal="centerContinuous"/>
      <protection locked="0" hidden="1"/>
    </xf>
    <xf numFmtId="164" fontId="8" fillId="2" borderId="61" xfId="0" applyNumberFormat="1" applyFont="1" applyFill="1" applyBorder="1" applyAlignment="1" applyProtection="1">
      <alignment horizontal="right"/>
      <protection locked="0" hidden="1"/>
    </xf>
    <xf numFmtId="164" fontId="8" fillId="2" borderId="84" xfId="0" applyNumberFormat="1" applyFont="1" applyFill="1" applyBorder="1" applyAlignment="1" applyProtection="1">
      <alignment horizontal="right"/>
      <protection locked="0" hidden="1"/>
    </xf>
    <xf numFmtId="164" fontId="8" fillId="2" borderId="85" xfId="0" applyNumberFormat="1" applyFont="1" applyFill="1" applyBorder="1" applyAlignment="1" applyProtection="1">
      <alignment horizontal="right"/>
      <protection locked="0" hidden="1"/>
    </xf>
    <xf numFmtId="0" fontId="0" fillId="2" borderId="39" xfId="0" applyFill="1" applyBorder="1" applyProtection="1">
      <protection locked="0" hidden="1"/>
    </xf>
    <xf numFmtId="0" fontId="0" fillId="2" borderId="86" xfId="0" applyFill="1" applyBorder="1" applyProtection="1">
      <protection locked="0" hidden="1"/>
    </xf>
    <xf numFmtId="164" fontId="0" fillId="2" borderId="31" xfId="0" applyNumberFormat="1" applyFill="1" applyBorder="1" applyProtection="1">
      <protection locked="0" hidden="1"/>
    </xf>
    <xf numFmtId="0" fontId="0" fillId="2" borderId="32" xfId="0" applyFill="1" applyBorder="1" applyProtection="1">
      <protection locked="0" hidden="1"/>
    </xf>
    <xf numFmtId="0" fontId="0" fillId="2" borderId="87" xfId="0" applyFill="1" applyBorder="1" applyProtection="1">
      <protection locked="0" hidden="1"/>
    </xf>
    <xf numFmtId="0" fontId="0" fillId="2" borderId="31" xfId="0" applyFill="1" applyBorder="1" applyProtection="1">
      <protection locked="0" hidden="1"/>
    </xf>
    <xf numFmtId="165" fontId="0" fillId="2" borderId="0" xfId="0" applyNumberFormat="1" applyFill="1" applyProtection="1">
      <protection locked="0" hidden="1"/>
    </xf>
    <xf numFmtId="0" fontId="0" fillId="2" borderId="72" xfId="0" applyFill="1" applyBorder="1" applyAlignment="1" applyProtection="1">
      <alignment horizontal="centerContinuous" vertical="center" wrapText="1"/>
      <protection locked="0" hidden="1"/>
    </xf>
    <xf numFmtId="0" fontId="0" fillId="2" borderId="71" xfId="0" applyFill="1" applyBorder="1" applyAlignment="1" applyProtection="1">
      <alignment horizontal="centerContinuous" vertical="center" wrapText="1"/>
      <protection locked="0" hidden="1"/>
    </xf>
    <xf numFmtId="0" fontId="0" fillId="2" borderId="88" xfId="0" applyFill="1" applyBorder="1" applyAlignment="1" applyProtection="1">
      <alignment horizontal="centerContinuous" vertical="center" wrapText="1"/>
      <protection locked="0" hidden="1"/>
    </xf>
    <xf numFmtId="164" fontId="8" fillId="2" borderId="12" xfId="0" applyNumberFormat="1" applyFont="1" applyFill="1" applyBorder="1" applyAlignment="1" applyProtection="1">
      <alignment horizontal="right"/>
      <protection locked="0" hidden="1"/>
    </xf>
    <xf numFmtId="164" fontId="8" fillId="2" borderId="14" xfId="0" applyNumberFormat="1" applyFont="1" applyFill="1" applyBorder="1" applyAlignment="1" applyProtection="1">
      <alignment horizontal="right"/>
      <protection locked="0" hidden="1"/>
    </xf>
    <xf numFmtId="0" fontId="0" fillId="2" borderId="79" xfId="0" applyFill="1" applyBorder="1" applyAlignment="1" applyProtection="1">
      <alignment horizontal="left" vertical="center" wrapText="1"/>
      <protection locked="0" hidden="1"/>
    </xf>
    <xf numFmtId="0" fontId="0" fillId="2" borderId="12" xfId="0" applyFill="1" applyBorder="1" applyAlignment="1" applyProtection="1">
      <alignment horizontal="left" vertical="center" wrapText="1"/>
      <protection locked="0" hidden="1"/>
    </xf>
    <xf numFmtId="0" fontId="0" fillId="2" borderId="14" xfId="0" applyFill="1" applyBorder="1" applyAlignment="1" applyProtection="1">
      <alignment horizontal="left" vertical="center" wrapText="1"/>
      <protection locked="0" hidden="1"/>
    </xf>
    <xf numFmtId="164" fontId="8" fillId="2" borderId="52" xfId="0" applyNumberFormat="1" applyFont="1" applyFill="1" applyBorder="1" applyAlignment="1" applyProtection="1">
      <alignment horizontal="right"/>
      <protection locked="0" hidden="1"/>
    </xf>
    <xf numFmtId="164" fontId="8" fillId="2" borderId="89" xfId="0" applyNumberFormat="1" applyFont="1" applyFill="1" applyBorder="1" applyAlignment="1" applyProtection="1">
      <alignment horizontal="right"/>
      <protection locked="0" hidden="1"/>
    </xf>
    <xf numFmtId="164" fontId="8" fillId="2" borderId="9" xfId="0" applyNumberFormat="1" applyFont="1" applyFill="1" applyBorder="1" applyAlignment="1" applyProtection="1">
      <alignment horizontal="right"/>
      <protection locked="0" hidden="1"/>
    </xf>
    <xf numFmtId="164" fontId="8" fillId="2" borderId="10" xfId="0" applyNumberFormat="1" applyFont="1" applyFill="1" applyBorder="1" applyAlignment="1" applyProtection="1">
      <alignment horizontal="right"/>
      <protection locked="0" hidden="1"/>
    </xf>
    <xf numFmtId="0" fontId="0" fillId="2" borderId="9" xfId="0" applyFill="1" applyBorder="1" applyAlignment="1" applyProtection="1">
      <alignment horizontal="right"/>
      <protection locked="0" hidden="1"/>
    </xf>
    <xf numFmtId="0" fontId="0" fillId="2" borderId="80" xfId="0" applyFill="1" applyBorder="1" applyAlignment="1" applyProtection="1">
      <alignment horizontal="right"/>
      <protection locked="0" hidden="1"/>
    </xf>
    <xf numFmtId="0" fontId="0" fillId="2" borderId="81" xfId="0" applyFill="1" applyBorder="1" applyAlignment="1" applyProtection="1">
      <alignment horizontal="left" vertical="center" wrapText="1"/>
      <protection locked="0" hidden="1"/>
    </xf>
    <xf numFmtId="0" fontId="0" fillId="2" borderId="9" xfId="0" applyFill="1" applyBorder="1" applyAlignment="1" applyProtection="1">
      <alignment horizontal="left" vertical="center" wrapText="1"/>
      <protection locked="0" hidden="1"/>
    </xf>
    <xf numFmtId="0" fontId="0" fillId="2" borderId="10" xfId="0" applyFill="1" applyBorder="1" applyAlignment="1" applyProtection="1">
      <alignment horizontal="left" vertical="center" wrapText="1"/>
      <protection locked="0" hidden="1"/>
    </xf>
    <xf numFmtId="164" fontId="8" fillId="2" borderId="40" xfId="0" applyNumberFormat="1" applyFont="1" applyFill="1" applyBorder="1" applyAlignment="1" applyProtection="1">
      <alignment horizontal="right"/>
      <protection locked="0" hidden="1"/>
    </xf>
    <xf numFmtId="164" fontId="8" fillId="2" borderId="90" xfId="0" applyNumberFormat="1" applyFont="1" applyFill="1" applyBorder="1" applyAlignment="1" applyProtection="1">
      <alignment horizontal="right"/>
      <protection locked="0" hidden="1"/>
    </xf>
    <xf numFmtId="164" fontId="8" fillId="2" borderId="58" xfId="0" applyNumberFormat="1" applyFont="1" applyFill="1" applyBorder="1" applyAlignment="1" applyProtection="1">
      <alignment horizontal="right"/>
      <protection locked="0" hidden="1"/>
    </xf>
    <xf numFmtId="164" fontId="8" fillId="2" borderId="59" xfId="0" applyNumberFormat="1" applyFont="1" applyFill="1" applyBorder="1" applyAlignment="1" applyProtection="1">
      <alignment horizontal="right"/>
      <protection locked="0" hidden="1"/>
    </xf>
    <xf numFmtId="0" fontId="0" fillId="2" borderId="58" xfId="0" applyFill="1" applyBorder="1" applyAlignment="1" applyProtection="1">
      <alignment horizontal="right"/>
      <protection locked="0" hidden="1"/>
    </xf>
    <xf numFmtId="0" fontId="0" fillId="2" borderId="91" xfId="0" applyFill="1" applyBorder="1" applyAlignment="1" applyProtection="1">
      <alignment horizontal="right"/>
      <protection locked="0" hidden="1"/>
    </xf>
    <xf numFmtId="0" fontId="0" fillId="2" borderId="83" xfId="0" applyFill="1" applyBorder="1" applyAlignment="1" applyProtection="1">
      <alignment horizontal="left" vertical="center" wrapText="1"/>
      <protection locked="0" hidden="1"/>
    </xf>
    <xf numFmtId="0" fontId="0" fillId="2" borderId="58" xfId="0" applyFill="1" applyBorder="1" applyAlignment="1" applyProtection="1">
      <alignment horizontal="left" vertical="center" wrapText="1"/>
      <protection locked="0" hidden="1"/>
    </xf>
    <xf numFmtId="0" fontId="0" fillId="2" borderId="59" xfId="0" applyFill="1" applyBorder="1" applyAlignment="1" applyProtection="1">
      <alignment horizontal="left" vertical="center" wrapText="1"/>
      <protection locked="0" hidden="1"/>
    </xf>
    <xf numFmtId="164" fontId="8" fillId="2" borderId="60" xfId="0" applyNumberFormat="1" applyFont="1" applyFill="1" applyBorder="1" applyAlignment="1" applyProtection="1">
      <alignment horizontal="right"/>
      <protection locked="0" hidden="1"/>
    </xf>
    <xf numFmtId="164" fontId="8" fillId="2" borderId="92" xfId="0" applyNumberFormat="1" applyFont="1" applyFill="1" applyBorder="1" applyAlignment="1" applyProtection="1">
      <alignment horizontal="right"/>
      <protection locked="0" hidden="1"/>
    </xf>
    <xf numFmtId="0" fontId="0" fillId="2" borderId="0" xfId="0" applyFill="1" applyAlignment="1" applyProtection="1">
      <alignment horizontal="left"/>
      <protection locked="0" hidden="1"/>
    </xf>
    <xf numFmtId="0" fontId="0" fillId="2" borderId="63" xfId="0" applyFill="1" applyBorder="1" applyAlignment="1" applyProtection="1">
      <alignment horizontal="right"/>
      <protection locked="0" hidden="1"/>
    </xf>
    <xf numFmtId="0" fontId="0" fillId="2" borderId="85" xfId="0" applyFill="1" applyBorder="1" applyAlignment="1" applyProtection="1">
      <alignment horizontal="right"/>
      <protection locked="0" hidden="1"/>
    </xf>
    <xf numFmtId="0" fontId="0" fillId="2" borderId="39" xfId="0" applyFill="1" applyBorder="1" applyAlignment="1" applyProtection="1">
      <alignment horizontal="left" vertical="center" wrapText="1"/>
      <protection locked="0" hidden="1"/>
    </xf>
    <xf numFmtId="0" fontId="0" fillId="2" borderId="0" xfId="0" applyFill="1" applyAlignment="1" applyProtection="1">
      <alignment horizontal="left" vertical="center" wrapText="1"/>
      <protection locked="0" hidden="1"/>
    </xf>
    <xf numFmtId="0" fontId="0" fillId="2" borderId="93" xfId="0" applyFill="1" applyBorder="1" applyAlignment="1" applyProtection="1">
      <alignment horizontal="left"/>
      <protection locked="0" hidden="1"/>
    </xf>
    <xf numFmtId="0" fontId="0" fillId="2" borderId="34" xfId="0" applyFill="1" applyBorder="1" applyAlignment="1" applyProtection="1">
      <alignment horizontal="left"/>
      <protection locked="0" hidden="1"/>
    </xf>
    <xf numFmtId="0" fontId="0" fillId="2" borderId="35" xfId="0" applyFill="1" applyBorder="1" applyAlignment="1" applyProtection="1">
      <alignment horizontal="left"/>
      <protection locked="0" hidden="1"/>
    </xf>
    <xf numFmtId="164" fontId="8" fillId="2" borderId="37" xfId="0" applyNumberFormat="1" applyFont="1" applyFill="1" applyBorder="1" applyAlignment="1" applyProtection="1">
      <alignment horizontal="right"/>
      <protection locked="0" hidden="1"/>
    </xf>
    <xf numFmtId="164" fontId="8" fillId="2" borderId="34" xfId="0" applyNumberFormat="1" applyFont="1" applyFill="1" applyBorder="1" applyAlignment="1" applyProtection="1">
      <alignment horizontal="right"/>
      <protection locked="0" hidden="1"/>
    </xf>
    <xf numFmtId="164" fontId="8" fillId="2" borderId="94" xfId="0" applyNumberFormat="1" applyFont="1" applyFill="1" applyBorder="1" applyAlignment="1" applyProtection="1">
      <alignment horizontal="right"/>
      <protection locked="0" hidden="1"/>
    </xf>
    <xf numFmtId="164" fontId="8" fillId="2" borderId="95" xfId="0" applyNumberFormat="1" applyFont="1" applyFill="1" applyBorder="1" applyAlignment="1" applyProtection="1">
      <alignment horizontal="right"/>
      <protection locked="0" hidden="1"/>
    </xf>
    <xf numFmtId="164" fontId="8" fillId="2" borderId="96" xfId="0" applyNumberFormat="1" applyFont="1" applyFill="1" applyBorder="1" applyAlignment="1" applyProtection="1">
      <alignment horizontal="right"/>
      <protection locked="0" hidden="1"/>
    </xf>
    <xf numFmtId="0" fontId="0" fillId="2" borderId="10" xfId="0" applyFill="1" applyBorder="1" applyAlignment="1">
      <alignment horizontal="left"/>
    </xf>
    <xf numFmtId="0" fontId="0" fillId="2" borderId="9" xfId="0" applyFill="1" applyBorder="1" applyAlignment="1">
      <alignment horizontal="right"/>
    </xf>
    <xf numFmtId="0" fontId="0" fillId="2" borderId="80" xfId="0" applyFill="1" applyBorder="1" applyAlignment="1">
      <alignment horizontal="right"/>
    </xf>
    <xf numFmtId="164" fontId="8" fillId="2" borderId="97" xfId="0" applyNumberFormat="1" applyFont="1" applyFill="1" applyBorder="1" applyAlignment="1" applyProtection="1">
      <alignment horizontal="right"/>
      <protection locked="0" hidden="1"/>
    </xf>
    <xf numFmtId="164" fontId="8" fillId="2" borderId="98" xfId="0" applyNumberFormat="1" applyFont="1" applyFill="1" applyBorder="1" applyAlignment="1" applyProtection="1">
      <alignment horizontal="right"/>
      <protection locked="0" hidden="1"/>
    </xf>
    <xf numFmtId="0" fontId="0" fillId="2" borderId="56" xfId="0" applyFill="1" applyBorder="1" applyAlignment="1" applyProtection="1">
      <alignment horizontal="left"/>
      <protection locked="0" hidden="1"/>
    </xf>
    <xf numFmtId="0" fontId="0" fillId="2" borderId="45" xfId="0" applyFill="1" applyBorder="1" applyAlignment="1">
      <alignment horizontal="left"/>
    </xf>
    <xf numFmtId="0" fontId="0" fillId="2" borderId="46" xfId="0" applyFill="1" applyBorder="1" applyAlignment="1">
      <alignment horizontal="left"/>
    </xf>
    <xf numFmtId="0" fontId="0" fillId="2" borderId="58" xfId="0" applyFill="1" applyBorder="1" applyAlignment="1">
      <alignment horizontal="right"/>
    </xf>
    <xf numFmtId="0" fontId="0" fillId="2" borderId="91" xfId="0" applyFill="1" applyBorder="1" applyAlignment="1">
      <alignment horizontal="right"/>
    </xf>
    <xf numFmtId="164" fontId="8" fillId="2" borderId="99" xfId="0" applyNumberFormat="1" applyFont="1" applyFill="1" applyBorder="1" applyAlignment="1" applyProtection="1">
      <alignment horizontal="right"/>
      <protection locked="0" hidden="1"/>
    </xf>
    <xf numFmtId="164" fontId="8" fillId="2" borderId="100" xfId="0" applyNumberFormat="1" applyFont="1" applyFill="1" applyBorder="1" applyAlignment="1" applyProtection="1">
      <alignment horizontal="right"/>
      <protection locked="0" hidden="1"/>
    </xf>
    <xf numFmtId="0" fontId="0" fillId="2" borderId="101" xfId="0" applyFill="1" applyBorder="1" applyAlignment="1" applyProtection="1">
      <alignment horizontal="left"/>
      <protection locked="0" hidden="1"/>
    </xf>
    <xf numFmtId="0" fontId="0" fillId="2" borderId="102" xfId="0" applyFill="1" applyBorder="1" applyAlignment="1">
      <alignment horizontal="left"/>
    </xf>
    <xf numFmtId="0" fontId="0" fillId="2" borderId="103" xfId="0" applyFill="1" applyBorder="1" applyAlignment="1">
      <alignment horizontal="left"/>
    </xf>
    <xf numFmtId="164" fontId="8" fillId="2" borderId="27" xfId="0" applyNumberFormat="1" applyFont="1" applyFill="1" applyBorder="1" applyAlignment="1" applyProtection="1">
      <alignment horizontal="right"/>
      <protection locked="0" hidden="1"/>
    </xf>
    <xf numFmtId="0" fontId="0" fillId="2" borderId="28" xfId="0" applyFill="1" applyBorder="1" applyAlignment="1">
      <alignment horizontal="right"/>
    </xf>
    <xf numFmtId="0" fontId="0" fillId="2" borderId="68" xfId="0" applyFill="1" applyBorder="1" applyAlignment="1">
      <alignment horizontal="right"/>
    </xf>
    <xf numFmtId="164" fontId="8" fillId="2" borderId="104" xfId="0" applyNumberFormat="1" applyFont="1" applyFill="1" applyBorder="1" applyAlignment="1" applyProtection="1">
      <alignment horizontal="right"/>
      <protection locked="0" hidden="1"/>
    </xf>
    <xf numFmtId="0" fontId="0" fillId="2" borderId="105" xfId="0" applyFill="1" applyBorder="1" applyAlignment="1" applyProtection="1">
      <alignment horizontal="right"/>
      <protection locked="0" hidden="1"/>
    </xf>
    <xf numFmtId="0" fontId="15" fillId="2" borderId="0" xfId="0" applyFont="1" applyFill="1" applyProtection="1">
      <protection locked="0" hidden="1"/>
    </xf>
    <xf numFmtId="0" fontId="17" fillId="2" borderId="0" xfId="0" applyFont="1" applyFill="1" applyProtection="1">
      <protection locked="0" hidden="1"/>
    </xf>
    <xf numFmtId="0" fontId="31" fillId="2" borderId="0" xfId="0" applyFont="1" applyFill="1" applyAlignment="1" applyProtection="1">
      <alignment horizontal="right"/>
      <protection locked="0" hidden="1"/>
    </xf>
    <xf numFmtId="0" fontId="17" fillId="2" borderId="0" xfId="0" applyFont="1" applyFill="1" applyAlignment="1" applyProtection="1">
      <alignment horizontal="right"/>
      <protection locked="0" hidden="1"/>
    </xf>
    <xf numFmtId="0" fontId="32" fillId="2" borderId="0" xfId="0" applyFont="1" applyFill="1" applyAlignment="1" applyProtection="1">
      <alignment horizontal="left"/>
      <protection locked="0" hidden="1"/>
    </xf>
    <xf numFmtId="0" fontId="9" fillId="2" borderId="0" xfId="0" applyFont="1" applyFill="1" applyProtection="1">
      <protection locked="0" hidden="1"/>
    </xf>
    <xf numFmtId="0" fontId="18" fillId="2" borderId="0" xfId="0" applyFont="1" applyFill="1" applyProtection="1">
      <protection locked="0" hidden="1"/>
    </xf>
    <xf numFmtId="0" fontId="15" fillId="2" borderId="0" xfId="0" applyFont="1" applyFill="1" applyAlignment="1" applyProtection="1">
      <alignment horizontal="left"/>
      <protection locked="0" hidden="1"/>
    </xf>
    <xf numFmtId="0" fontId="21" fillId="2" borderId="0" xfId="0" applyFont="1" applyFill="1" applyAlignment="1" applyProtection="1">
      <alignment horizontal="right"/>
      <protection hidden="1"/>
    </xf>
    <xf numFmtId="0" fontId="7" fillId="2" borderId="11" xfId="0" applyFont="1" applyFill="1" applyBorder="1" applyAlignment="1" applyProtection="1">
      <alignment horizontal="left"/>
      <protection hidden="1"/>
    </xf>
    <xf numFmtId="0" fontId="7" fillId="2" borderId="12" xfId="0" applyFont="1" applyFill="1" applyBorder="1" applyAlignment="1" applyProtection="1">
      <alignment horizontal="left"/>
      <protection hidden="1"/>
    </xf>
    <xf numFmtId="0" fontId="7" fillId="2" borderId="64" xfId="0" applyFont="1" applyFill="1" applyBorder="1" applyAlignment="1" applyProtection="1">
      <alignment horizontal="left"/>
      <protection hidden="1"/>
    </xf>
    <xf numFmtId="0" fontId="8" fillId="2" borderId="14" xfId="0" applyFont="1" applyFill="1" applyBorder="1" applyProtection="1">
      <protection hidden="1"/>
    </xf>
    <xf numFmtId="0" fontId="8" fillId="2" borderId="21" xfId="0" applyFont="1" applyFill="1" applyBorder="1" applyProtection="1">
      <protection hidden="1"/>
    </xf>
    <xf numFmtId="0" fontId="7" fillId="2" borderId="15" xfId="0" applyFont="1" applyFill="1" applyBorder="1" applyAlignment="1" applyProtection="1">
      <alignment horizontal="left"/>
      <protection hidden="1"/>
    </xf>
    <xf numFmtId="0" fontId="7" fillId="2" borderId="9" xfId="0" applyFont="1" applyFill="1" applyBorder="1" applyAlignment="1" applyProtection="1">
      <alignment horizontal="left"/>
      <protection hidden="1"/>
    </xf>
    <xf numFmtId="0" fontId="7" fillId="2" borderId="65" xfId="0" applyFont="1" applyFill="1" applyBorder="1" applyAlignment="1" applyProtection="1">
      <alignment horizontal="left"/>
      <protection hidden="1"/>
    </xf>
    <xf numFmtId="0" fontId="0" fillId="2" borderId="9" xfId="0" applyFill="1" applyBorder="1" applyProtection="1">
      <protection hidden="1"/>
    </xf>
    <xf numFmtId="0" fontId="0" fillId="2" borderId="10" xfId="0" applyFill="1" applyBorder="1" applyProtection="1">
      <protection hidden="1"/>
    </xf>
    <xf numFmtId="14" fontId="8" fillId="2" borderId="9" xfId="0" applyNumberFormat="1" applyFont="1" applyFill="1" applyBorder="1" applyAlignment="1" applyProtection="1">
      <alignment horizontal="centerContinuous"/>
      <protection hidden="1"/>
    </xf>
    <xf numFmtId="14" fontId="8" fillId="2" borderId="10" xfId="0" applyNumberFormat="1" applyFont="1" applyFill="1" applyBorder="1" applyAlignment="1" applyProtection="1">
      <alignment horizontal="centerContinuous"/>
      <protection hidden="1"/>
    </xf>
    <xf numFmtId="14" fontId="8" fillId="2" borderId="21" xfId="0" applyNumberFormat="1" applyFont="1" applyFill="1" applyBorder="1" applyProtection="1">
      <protection hidden="1"/>
    </xf>
    <xf numFmtId="0" fontId="7" fillId="2" borderId="48" xfId="0" applyFont="1" applyFill="1" applyBorder="1" applyAlignment="1" applyProtection="1">
      <alignment horizontal="left"/>
      <protection hidden="1"/>
    </xf>
    <xf numFmtId="0" fontId="7" fillId="2" borderId="45" xfId="0" applyFont="1" applyFill="1" applyBorder="1" applyAlignment="1" applyProtection="1">
      <alignment horizontal="left"/>
      <protection hidden="1"/>
    </xf>
    <xf numFmtId="0" fontId="7" fillId="2" borderId="66" xfId="0" applyFont="1" applyFill="1" applyBorder="1" applyAlignment="1" applyProtection="1">
      <alignment horizontal="left"/>
      <protection hidden="1"/>
    </xf>
    <xf numFmtId="0" fontId="0" fillId="2" borderId="45" xfId="0" applyFill="1" applyBorder="1" applyProtection="1">
      <protection hidden="1"/>
    </xf>
    <xf numFmtId="0" fontId="0" fillId="2" borderId="46" xfId="0" applyFill="1" applyBorder="1" applyProtection="1">
      <protection hidden="1"/>
    </xf>
    <xf numFmtId="2" fontId="0" fillId="2" borderId="11" xfId="0" applyNumberFormat="1" applyFill="1" applyBorder="1" applyAlignment="1" applyProtection="1">
      <alignment horizontal="right"/>
      <protection hidden="1"/>
    </xf>
    <xf numFmtId="2" fontId="0" fillId="2" borderId="12" xfId="0" applyNumberFormat="1" applyFill="1" applyBorder="1" applyAlignment="1" applyProtection="1">
      <alignment horizontal="right"/>
      <protection hidden="1"/>
    </xf>
    <xf numFmtId="0" fontId="0" fillId="2" borderId="12" xfId="0" applyFill="1" applyBorder="1" applyAlignment="1" applyProtection="1">
      <alignment horizontal="center"/>
      <protection hidden="1"/>
    </xf>
    <xf numFmtId="0" fontId="0" fillId="2" borderId="14" xfId="0" applyFill="1" applyBorder="1" applyProtection="1">
      <protection hidden="1"/>
    </xf>
    <xf numFmtId="2" fontId="0" fillId="2" borderId="15" xfId="0" applyNumberFormat="1" applyFill="1" applyBorder="1" applyAlignment="1" applyProtection="1">
      <alignment horizontal="right"/>
      <protection hidden="1"/>
    </xf>
    <xf numFmtId="2" fontId="0" fillId="2" borderId="9" xfId="0" applyNumberFormat="1" applyFill="1" applyBorder="1" applyAlignment="1" applyProtection="1">
      <alignment horizontal="right"/>
      <protection hidden="1"/>
    </xf>
    <xf numFmtId="0" fontId="0" fillId="2" borderId="9" xfId="0" applyFill="1" applyBorder="1" applyAlignment="1" applyProtection="1">
      <alignment horizontal="center"/>
      <protection hidden="1"/>
    </xf>
    <xf numFmtId="4" fontId="0" fillId="2" borderId="15" xfId="0" applyNumberFormat="1" applyFill="1" applyBorder="1" applyAlignment="1" applyProtection="1">
      <alignment horizontal="right"/>
      <protection hidden="1"/>
    </xf>
    <xf numFmtId="0" fontId="0" fillId="2" borderId="9" xfId="0" applyFill="1" applyBorder="1" applyAlignment="1" applyProtection="1">
      <alignment horizontal="right"/>
      <protection hidden="1"/>
    </xf>
    <xf numFmtId="4" fontId="0" fillId="2" borderId="9" xfId="0" applyNumberFormat="1" applyFill="1" applyBorder="1" applyProtection="1">
      <protection hidden="1"/>
    </xf>
    <xf numFmtId="4" fontId="0" fillId="2" borderId="9" xfId="0" applyNumberFormat="1" applyFill="1" applyBorder="1" applyAlignment="1" applyProtection="1">
      <alignment horizontal="right"/>
      <protection hidden="1"/>
    </xf>
    <xf numFmtId="0" fontId="0" fillId="2" borderId="48" xfId="0" applyFill="1" applyBorder="1" applyAlignment="1" applyProtection="1">
      <alignment horizontal="right"/>
      <protection hidden="1"/>
    </xf>
    <xf numFmtId="0" fontId="0" fillId="2" borderId="45" xfId="0" applyFill="1" applyBorder="1" applyAlignment="1" applyProtection="1">
      <alignment horizontal="right"/>
      <protection hidden="1"/>
    </xf>
    <xf numFmtId="0" fontId="0" fillId="2" borderId="12" xfId="0" applyFill="1" applyBorder="1" applyProtection="1">
      <protection hidden="1"/>
    </xf>
    <xf numFmtId="164" fontId="0" fillId="2" borderId="15" xfId="0" applyNumberFormat="1" applyFill="1" applyBorder="1" applyAlignment="1" applyProtection="1">
      <alignment horizontal="right"/>
      <protection hidden="1"/>
    </xf>
    <xf numFmtId="164" fontId="0" fillId="2" borderId="9" xfId="0" applyNumberFormat="1" applyFill="1" applyBorder="1" applyAlignment="1" applyProtection="1">
      <alignment horizontal="right"/>
      <protection hidden="1"/>
    </xf>
    <xf numFmtId="164" fontId="0" fillId="2" borderId="9" xfId="0" applyNumberFormat="1" applyFill="1" applyBorder="1" applyProtection="1">
      <protection hidden="1"/>
    </xf>
    <xf numFmtId="0" fontId="0" fillId="2" borderId="15" xfId="0" applyFill="1" applyBorder="1" applyAlignment="1" applyProtection="1">
      <alignment horizontal="right"/>
      <protection hidden="1"/>
    </xf>
    <xf numFmtId="164" fontId="0" fillId="2" borderId="10" xfId="0" applyNumberFormat="1" applyFill="1" applyBorder="1" applyProtection="1">
      <protection hidden="1"/>
    </xf>
    <xf numFmtId="0" fontId="0" fillId="2" borderId="24" xfId="0" applyFill="1" applyBorder="1" applyProtection="1">
      <protection hidden="1"/>
    </xf>
    <xf numFmtId="0" fontId="8" fillId="2" borderId="51" xfId="0" applyFont="1" applyFill="1" applyBorder="1" applyAlignment="1" applyProtection="1">
      <alignment horizontal="left" vertical="center"/>
      <protection hidden="1"/>
    </xf>
    <xf numFmtId="0" fontId="0" fillId="2" borderId="19" xfId="0" applyFill="1" applyBorder="1" applyAlignment="1" applyProtection="1">
      <alignment horizontal="right" vertical="center"/>
      <protection hidden="1"/>
    </xf>
    <xf numFmtId="0" fontId="8" fillId="2" borderId="20" xfId="0" applyFont="1" applyFill="1" applyBorder="1" applyAlignment="1" applyProtection="1">
      <alignment horizontal="left" vertical="center"/>
      <protection hidden="1"/>
    </xf>
    <xf numFmtId="0" fontId="6" fillId="2" borderId="12" xfId="0" applyFont="1" applyFill="1" applyBorder="1" applyAlignment="1" applyProtection="1">
      <alignment horizontal="centerContinuous"/>
      <protection hidden="1"/>
    </xf>
    <xf numFmtId="0" fontId="6" fillId="2" borderId="9" xfId="0" applyFont="1" applyFill="1" applyBorder="1" applyAlignment="1" applyProtection="1">
      <alignment horizontal="centerContinuous"/>
      <protection hidden="1"/>
    </xf>
    <xf numFmtId="164" fontId="6" fillId="2" borderId="9" xfId="0" applyNumberFormat="1" applyFont="1" applyFill="1" applyBorder="1" applyAlignment="1" applyProtection="1">
      <alignment horizontal="centerContinuous"/>
      <protection hidden="1"/>
    </xf>
    <xf numFmtId="20" fontId="6" fillId="2" borderId="17" xfId="0" applyNumberFormat="1" applyFont="1" applyFill="1" applyBorder="1" applyAlignment="1" applyProtection="1">
      <alignment horizontal="centerContinuous"/>
      <protection hidden="1"/>
    </xf>
    <xf numFmtId="20" fontId="6" fillId="2" borderId="9" xfId="0" applyNumberFormat="1" applyFont="1" applyFill="1" applyBorder="1" applyAlignment="1" applyProtection="1">
      <alignment horizontal="centerContinuous"/>
      <protection hidden="1"/>
    </xf>
    <xf numFmtId="0" fontId="8" fillId="2" borderId="12" xfId="0" applyFont="1" applyFill="1" applyBorder="1" applyAlignment="1" applyProtection="1">
      <alignment horizontal="centerContinuous"/>
      <protection hidden="1"/>
    </xf>
    <xf numFmtId="0" fontId="8" fillId="2" borderId="108" xfId="0" applyFont="1" applyFill="1" applyBorder="1" applyAlignment="1" applyProtection="1">
      <alignment horizontal="centerContinuous"/>
      <protection hidden="1"/>
    </xf>
    <xf numFmtId="0" fontId="8" fillId="2" borderId="9" xfId="0" applyFont="1" applyFill="1" applyBorder="1" applyAlignment="1" applyProtection="1">
      <alignment horizontal="centerContinuous"/>
      <protection hidden="1"/>
    </xf>
    <xf numFmtId="0" fontId="8" fillId="2" borderId="8" xfId="0" applyFont="1" applyFill="1" applyBorder="1" applyAlignment="1" applyProtection="1">
      <alignment horizontal="centerContinuous"/>
      <protection hidden="1"/>
    </xf>
    <xf numFmtId="0" fontId="8" fillId="2" borderId="45" xfId="0" applyFont="1" applyFill="1" applyBorder="1" applyAlignment="1" applyProtection="1">
      <alignment horizontal="centerContinuous"/>
      <protection hidden="1"/>
    </xf>
    <xf numFmtId="0" fontId="8" fillId="2" borderId="109" xfId="0" applyFont="1" applyFill="1" applyBorder="1" applyAlignment="1" applyProtection="1">
      <alignment horizontal="centerContinuous"/>
      <protection hidden="1"/>
    </xf>
    <xf numFmtId="0" fontId="0" fillId="2" borderId="0" xfId="0" applyFill="1" applyProtection="1"/>
    <xf numFmtId="0" fontId="0" fillId="3" borderId="0" xfId="0" applyFill="1" applyProtection="1"/>
    <xf numFmtId="0" fontId="3" fillId="4" borderId="110" xfId="0" applyFont="1" applyFill="1" applyBorder="1" applyAlignment="1" applyProtection="1">
      <alignment horizontal="center" vertical="center"/>
    </xf>
    <xf numFmtId="0" fontId="2" fillId="2" borderId="0" xfId="0" applyFont="1" applyFill="1" applyAlignment="1" applyProtection="1">
      <alignment horizontal="left" vertical="top"/>
    </xf>
    <xf numFmtId="0" fontId="2" fillId="2" borderId="0" xfId="0" applyFont="1" applyFill="1" applyAlignment="1" applyProtection="1">
      <alignment horizontal="center"/>
    </xf>
    <xf numFmtId="0" fontId="0" fillId="5" borderId="0" xfId="0" applyFill="1" applyProtection="1"/>
    <xf numFmtId="0" fontId="3" fillId="4" borderId="111" xfId="0" applyFont="1" applyFill="1" applyBorder="1" applyAlignment="1" applyProtection="1">
      <alignment horizontal="center" vertical="center"/>
    </xf>
    <xf numFmtId="0" fontId="3" fillId="4" borderId="112" xfId="0" applyFont="1" applyFill="1" applyBorder="1" applyAlignment="1" applyProtection="1">
      <alignment horizontal="center" vertical="center"/>
    </xf>
    <xf numFmtId="0" fontId="3" fillId="4" borderId="113" xfId="0" applyFont="1" applyFill="1" applyBorder="1" applyAlignment="1" applyProtection="1">
      <alignment horizontal="center" vertical="center"/>
    </xf>
    <xf numFmtId="0" fontId="3" fillId="4" borderId="114" xfId="0" applyFont="1" applyFill="1" applyBorder="1" applyAlignment="1" applyProtection="1">
      <alignment horizontal="center" vertical="center"/>
    </xf>
    <xf numFmtId="0" fontId="3" fillId="4" borderId="115" xfId="0" applyFont="1" applyFill="1" applyBorder="1" applyAlignment="1" applyProtection="1">
      <alignment horizontal="center" vertical="center"/>
    </xf>
    <xf numFmtId="0" fontId="3" fillId="4" borderId="116" xfId="0" applyFont="1" applyFill="1" applyBorder="1" applyAlignment="1" applyProtection="1">
      <alignment horizontal="center" vertical="center"/>
    </xf>
    <xf numFmtId="0" fontId="3" fillId="4" borderId="0" xfId="0" applyFont="1" applyFill="1" applyBorder="1" applyAlignment="1" applyProtection="1">
      <alignment horizontal="center" vertical="center"/>
    </xf>
    <xf numFmtId="0" fontId="0" fillId="6" borderId="117" xfId="0" applyFill="1" applyBorder="1" applyProtection="1"/>
    <xf numFmtId="0" fontId="0" fillId="6" borderId="5" xfId="0" applyFill="1" applyBorder="1" applyProtection="1"/>
    <xf numFmtId="0" fontId="4" fillId="3" borderId="118" xfId="0" applyFont="1" applyFill="1" applyBorder="1" applyAlignment="1" applyProtection="1">
      <alignment horizontal="center" vertical="center"/>
    </xf>
    <xf numFmtId="0" fontId="5" fillId="2" borderId="4" xfId="0" applyFont="1" applyFill="1" applyBorder="1" applyAlignment="1" applyProtection="1">
      <alignment horizontal="center" vertical="center"/>
    </xf>
    <xf numFmtId="2" fontId="5" fillId="2" borderId="4" xfId="0" applyNumberFormat="1" applyFont="1" applyFill="1" applyBorder="1" applyAlignment="1" applyProtection="1">
      <alignment horizontal="center" vertical="center"/>
    </xf>
    <xf numFmtId="2" fontId="5" fillId="2" borderId="119" xfId="0" applyNumberFormat="1" applyFont="1" applyFill="1" applyBorder="1" applyAlignment="1" applyProtection="1">
      <alignment horizontal="center" vertical="center"/>
    </xf>
    <xf numFmtId="2" fontId="0" fillId="5" borderId="0" xfId="0" applyNumberFormat="1" applyFill="1" applyProtection="1"/>
    <xf numFmtId="4" fontId="2" fillId="5" borderId="118" xfId="0" applyNumberFormat="1" applyFont="1" applyFill="1" applyBorder="1" applyAlignment="1" applyProtection="1">
      <alignment horizontal="left"/>
    </xf>
    <xf numFmtId="0" fontId="2" fillId="5" borderId="4" xfId="0" applyFont="1" applyFill="1" applyBorder="1" applyAlignment="1" applyProtection="1">
      <alignment horizontal="left"/>
    </xf>
    <xf numFmtId="0" fontId="4" fillId="6" borderId="118" xfId="0" applyFont="1" applyFill="1" applyBorder="1" applyAlignment="1" applyProtection="1">
      <alignment horizontal="center" vertical="center"/>
    </xf>
    <xf numFmtId="0" fontId="0" fillId="6" borderId="6" xfId="0" applyFill="1" applyBorder="1" applyProtection="1"/>
    <xf numFmtId="0" fontId="0" fillId="6" borderId="7" xfId="0" applyFill="1" applyBorder="1" applyProtection="1"/>
    <xf numFmtId="0" fontId="33" fillId="4" borderId="113" xfId="0" applyFont="1" applyFill="1" applyBorder="1" applyAlignment="1" applyProtection="1">
      <alignment horizontal="center" vertical="center"/>
    </xf>
    <xf numFmtId="4" fontId="0" fillId="7" borderId="118" xfId="0" applyNumberFormat="1" applyFill="1" applyBorder="1" applyProtection="1"/>
    <xf numFmtId="0" fontId="0" fillId="7" borderId="4" xfId="0" applyFill="1" applyBorder="1" applyProtection="1"/>
    <xf numFmtId="2" fontId="0" fillId="2" borderId="0" xfId="0" applyNumberFormat="1" applyFill="1" applyProtection="1"/>
    <xf numFmtId="0" fontId="4" fillId="8" borderId="6" xfId="0" applyFont="1" applyFill="1" applyBorder="1" applyAlignment="1" applyProtection="1">
      <alignment horizontal="center" vertical="center"/>
    </xf>
    <xf numFmtId="0" fontId="5" fillId="8" borderId="7" xfId="0" applyFont="1" applyFill="1" applyBorder="1" applyAlignment="1" applyProtection="1">
      <alignment horizontal="center" vertical="center"/>
    </xf>
    <xf numFmtId="2" fontId="5" fillId="8" borderId="7" xfId="0" applyNumberFormat="1" applyFont="1" applyFill="1" applyBorder="1" applyAlignment="1" applyProtection="1">
      <alignment horizontal="center" vertical="center"/>
    </xf>
    <xf numFmtId="2" fontId="5" fillId="8" borderId="120" xfId="0" applyNumberFormat="1" applyFont="1" applyFill="1" applyBorder="1" applyAlignment="1" applyProtection="1">
      <alignment horizontal="center" vertical="center"/>
    </xf>
    <xf numFmtId="0" fontId="0" fillId="2" borderId="0" xfId="0" applyFill="1" applyAlignment="1" applyProtection="1"/>
    <xf numFmtId="4" fontId="0" fillId="2" borderId="48" xfId="0" applyNumberFormat="1" applyFill="1" applyBorder="1" applyAlignment="1" applyProtection="1">
      <alignment horizontal="right"/>
      <protection hidden="1"/>
    </xf>
    <xf numFmtId="4" fontId="0" fillId="2" borderId="45" xfId="0" applyNumberFormat="1" applyFill="1" applyBorder="1" applyAlignment="1" applyProtection="1">
      <alignment horizontal="right"/>
      <protection hidden="1"/>
    </xf>
    <xf numFmtId="4" fontId="0" fillId="2" borderId="45" xfId="0" applyNumberFormat="1" applyFill="1" applyBorder="1" applyProtection="1">
      <protection hidden="1"/>
    </xf>
    <xf numFmtId="4" fontId="0" fillId="2" borderId="46" xfId="0" applyNumberFormat="1" applyFill="1" applyBorder="1" applyProtection="1">
      <protection hidden="1"/>
    </xf>
    <xf numFmtId="4" fontId="0" fillId="2" borderId="11" xfId="0" applyNumberFormat="1" applyFill="1" applyBorder="1" applyAlignment="1" applyProtection="1">
      <alignment horizontal="right"/>
      <protection hidden="1"/>
    </xf>
    <xf numFmtId="4" fontId="0" fillId="2" borderId="12" xfId="0" applyNumberFormat="1" applyFill="1" applyBorder="1" applyAlignment="1" applyProtection="1">
      <alignment horizontal="right"/>
      <protection hidden="1"/>
    </xf>
    <xf numFmtId="4" fontId="0" fillId="2" borderId="12" xfId="0" applyNumberFormat="1" applyFill="1" applyBorder="1" applyProtection="1">
      <protection hidden="1"/>
    </xf>
    <xf numFmtId="4" fontId="0" fillId="2" borderId="24" xfId="0" applyNumberFormat="1" applyFill="1" applyBorder="1" applyProtection="1">
      <protection hidden="1"/>
    </xf>
    <xf numFmtId="4" fontId="0" fillId="2" borderId="10" xfId="0" applyNumberFormat="1" applyFill="1" applyBorder="1" applyProtection="1">
      <protection hidden="1"/>
    </xf>
    <xf numFmtId="4" fontId="0" fillId="2" borderId="14" xfId="0" applyNumberFormat="1" applyFill="1" applyBorder="1" applyProtection="1">
      <protection hidden="1"/>
    </xf>
    <xf numFmtId="4" fontId="0" fillId="2" borderId="11" xfId="0" applyNumberFormat="1" applyFill="1" applyBorder="1" applyProtection="1">
      <protection hidden="1"/>
    </xf>
    <xf numFmtId="0" fontId="1" fillId="0" borderId="0" xfId="0" applyFont="1"/>
    <xf numFmtId="0" fontId="33" fillId="0" borderId="0" xfId="0" applyFont="1"/>
    <xf numFmtId="2" fontId="33" fillId="0" borderId="0" xfId="0" applyNumberFormat="1" applyFont="1"/>
    <xf numFmtId="165" fontId="33" fillId="0" borderId="0" xfId="0" applyNumberFormat="1" applyFont="1"/>
    <xf numFmtId="0" fontId="33" fillId="0" borderId="0" xfId="0" applyFont="1" applyAlignment="1">
      <alignment horizontal="center"/>
    </xf>
    <xf numFmtId="0" fontId="0" fillId="2" borderId="4" xfId="0" applyFill="1" applyBorder="1" applyAlignment="1" applyProtection="1">
      <alignment horizontal="center"/>
    </xf>
    <xf numFmtId="164" fontId="6" fillId="2" borderId="45" xfId="0" applyNumberFormat="1" applyFont="1" applyFill="1" applyBorder="1" applyAlignment="1" applyProtection="1">
      <alignment horizontal="right"/>
      <protection hidden="1"/>
    </xf>
    <xf numFmtId="0" fontId="10" fillId="8" borderId="0" xfId="0" applyFont="1" applyFill="1"/>
    <xf numFmtId="0" fontId="0" fillId="8" borderId="0" xfId="0" applyFill="1"/>
    <xf numFmtId="0" fontId="35" fillId="0" borderId="0" xfId="0" applyFont="1"/>
    <xf numFmtId="0" fontId="0" fillId="0" borderId="73" xfId="0" applyBorder="1"/>
    <xf numFmtId="0" fontId="0" fillId="0" borderId="121" xfId="0" applyBorder="1"/>
    <xf numFmtId="0" fontId="0" fillId="0" borderId="122" xfId="0" applyBorder="1"/>
    <xf numFmtId="0" fontId="0" fillId="0" borderId="123" xfId="0" applyBorder="1"/>
    <xf numFmtId="0" fontId="0" fillId="0" borderId="124" xfId="0" applyFill="1" applyBorder="1"/>
    <xf numFmtId="0" fontId="0" fillId="0" borderId="129" xfId="0" applyBorder="1" applyAlignment="1">
      <alignment vertical="center"/>
    </xf>
    <xf numFmtId="0" fontId="0" fillId="0" borderId="130" xfId="0" applyBorder="1" applyAlignment="1">
      <alignment vertical="center"/>
    </xf>
    <xf numFmtId="0" fontId="36" fillId="0" borderId="0" xfId="0" applyFont="1"/>
    <xf numFmtId="0" fontId="10" fillId="2" borderId="0" xfId="0" applyFont="1" applyFill="1" applyAlignment="1">
      <alignment horizontal="centerContinuous"/>
    </xf>
    <xf numFmtId="0" fontId="0" fillId="2" borderId="0" xfId="0" applyFont="1" applyFill="1"/>
    <xf numFmtId="0" fontId="38" fillId="2" borderId="0" xfId="0" applyFont="1" applyFill="1"/>
    <xf numFmtId="0" fontId="12" fillId="2" borderId="0" xfId="0" applyFont="1" applyFill="1"/>
    <xf numFmtId="0" fontId="11" fillId="2" borderId="0" xfId="0" applyFont="1" applyFill="1" applyAlignment="1">
      <alignment horizontal="left"/>
    </xf>
    <xf numFmtId="0" fontId="11" fillId="2" borderId="0" xfId="0" applyFont="1" applyFill="1"/>
    <xf numFmtId="0" fontId="39" fillId="2" borderId="0" xfId="0" applyFont="1" applyFill="1"/>
    <xf numFmtId="0" fontId="39" fillId="2" borderId="67" xfId="0" applyFont="1" applyFill="1" applyBorder="1" applyAlignment="1">
      <alignment horizontal="centerContinuous" vertical="top"/>
    </xf>
    <xf numFmtId="0" fontId="39" fillId="2" borderId="28" xfId="0" applyFont="1" applyFill="1" applyBorder="1" applyAlignment="1">
      <alignment horizontal="centerContinuous" vertical="top"/>
    </xf>
    <xf numFmtId="0" fontId="39" fillId="2" borderId="30" xfId="0" applyFont="1" applyFill="1" applyBorder="1" applyAlignment="1">
      <alignment horizontal="centerContinuous" vertical="top"/>
    </xf>
    <xf numFmtId="0" fontId="38" fillId="2" borderId="67" xfId="0" applyFont="1" applyFill="1" applyBorder="1" applyAlignment="1" applyProtection="1">
      <alignment horizontal="centerContinuous"/>
      <protection locked="0"/>
    </xf>
    <xf numFmtId="0" fontId="38" fillId="2" borderId="28" xfId="0" applyFont="1" applyFill="1" applyBorder="1" applyAlignment="1" applyProtection="1">
      <alignment horizontal="centerContinuous"/>
      <protection locked="0"/>
    </xf>
    <xf numFmtId="0" fontId="38" fillId="2" borderId="30" xfId="0" applyFont="1" applyFill="1" applyBorder="1" applyAlignment="1" applyProtection="1">
      <alignment horizontal="centerContinuous"/>
      <protection locked="0"/>
    </xf>
    <xf numFmtId="0" fontId="12" fillId="2" borderId="0" xfId="0" applyFont="1" applyFill="1" applyAlignment="1"/>
    <xf numFmtId="0" fontId="12" fillId="2" borderId="86" xfId="0" applyFont="1" applyFill="1" applyBorder="1" applyAlignment="1"/>
    <xf numFmtId="14" fontId="38" fillId="2" borderId="67" xfId="0" applyNumberFormat="1" applyFont="1" applyFill="1" applyBorder="1" applyAlignment="1" applyProtection="1">
      <alignment horizontal="centerContinuous"/>
      <protection locked="0"/>
    </xf>
    <xf numFmtId="14" fontId="38" fillId="2" borderId="28" xfId="0" applyNumberFormat="1" applyFont="1" applyFill="1" applyBorder="1" applyAlignment="1" applyProtection="1">
      <alignment horizontal="centerContinuous"/>
      <protection locked="0"/>
    </xf>
    <xf numFmtId="14" fontId="38" fillId="2" borderId="30" xfId="0" applyNumberFormat="1" applyFont="1" applyFill="1" applyBorder="1" applyAlignment="1" applyProtection="1">
      <alignment horizontal="centerContinuous"/>
      <protection locked="0"/>
    </xf>
    <xf numFmtId="20" fontId="38" fillId="2" borderId="67" xfId="0" applyNumberFormat="1" applyFont="1" applyFill="1" applyBorder="1" applyAlignment="1" applyProtection="1">
      <alignment horizontal="centerContinuous"/>
      <protection locked="0"/>
    </xf>
    <xf numFmtId="0" fontId="39" fillId="2" borderId="131" xfId="0" applyFont="1" applyFill="1" applyBorder="1"/>
    <xf numFmtId="0" fontId="39" fillId="2" borderId="132" xfId="0" applyFont="1" applyFill="1" applyBorder="1"/>
    <xf numFmtId="0" fontId="39" fillId="2" borderId="133" xfId="0" applyFont="1" applyFill="1" applyBorder="1" applyAlignment="1" applyProtection="1">
      <alignment horizontal="centerContinuous"/>
      <protection locked="0"/>
    </xf>
    <xf numFmtId="0" fontId="39" fillId="2" borderId="132" xfId="0" applyFont="1" applyFill="1" applyBorder="1" applyAlignment="1" applyProtection="1">
      <alignment horizontal="centerContinuous"/>
      <protection locked="0"/>
    </xf>
    <xf numFmtId="0" fontId="39" fillId="2" borderId="134" xfId="0" applyFont="1" applyFill="1" applyBorder="1" applyAlignment="1" applyProtection="1">
      <alignment horizontal="centerContinuous"/>
      <protection locked="0"/>
    </xf>
    <xf numFmtId="0" fontId="39" fillId="2" borderId="135" xfId="0" applyFont="1" applyFill="1" applyBorder="1" applyAlignment="1" applyProtection="1">
      <alignment horizontal="centerContinuous"/>
      <protection locked="0"/>
    </xf>
    <xf numFmtId="0" fontId="39" fillId="2" borderId="136" xfId="0" applyFont="1" applyFill="1" applyBorder="1"/>
    <xf numFmtId="0" fontId="39" fillId="2" borderId="0" xfId="0" applyFont="1" applyFill="1" applyBorder="1"/>
    <xf numFmtId="0" fontId="39" fillId="2" borderId="137" xfId="0" applyFont="1" applyFill="1" applyBorder="1" applyAlignment="1" applyProtection="1">
      <alignment horizontal="centerContinuous"/>
      <protection locked="0"/>
    </xf>
    <xf numFmtId="0" fontId="39" fillId="2" borderId="2" xfId="0" applyFont="1" applyFill="1" applyBorder="1" applyAlignment="1" applyProtection="1">
      <alignment horizontal="centerContinuous"/>
      <protection locked="0"/>
    </xf>
    <xf numFmtId="0" fontId="39" fillId="2" borderId="138" xfId="0" applyFont="1" applyFill="1" applyBorder="1" applyAlignment="1" applyProtection="1">
      <alignment horizontal="centerContinuous"/>
      <protection locked="0"/>
    </xf>
    <xf numFmtId="0" fontId="39" fillId="2" borderId="139" xfId="0" applyFont="1" applyFill="1" applyBorder="1" applyAlignment="1" applyProtection="1">
      <alignment horizontal="centerContinuous"/>
      <protection locked="0"/>
    </xf>
    <xf numFmtId="0" fontId="39" fillId="2" borderId="140" xfId="0" applyFont="1" applyFill="1" applyBorder="1"/>
    <xf numFmtId="0" fontId="39" fillId="2" borderId="2" xfId="0" applyFont="1" applyFill="1" applyBorder="1"/>
    <xf numFmtId="14" fontId="38" fillId="2" borderId="0" xfId="0" applyNumberFormat="1" applyFont="1" applyFill="1"/>
    <xf numFmtId="0" fontId="39" fillId="2" borderId="39" xfId="0" applyFont="1" applyFill="1" applyBorder="1" applyAlignment="1">
      <alignment horizontal="centerContinuous"/>
    </xf>
    <xf numFmtId="0" fontId="39" fillId="2" borderId="0" xfId="0" applyFont="1" applyFill="1" applyBorder="1" applyAlignment="1">
      <alignment horizontal="centerContinuous"/>
    </xf>
    <xf numFmtId="0" fontId="39" fillId="2" borderId="86" xfId="0" applyFont="1" applyFill="1" applyBorder="1" applyAlignment="1">
      <alignment horizontal="centerContinuous"/>
    </xf>
    <xf numFmtId="0" fontId="39" fillId="2" borderId="141" xfId="0" applyFont="1" applyFill="1" applyBorder="1" applyAlignment="1">
      <alignment horizontal="centerContinuous"/>
    </xf>
    <xf numFmtId="4" fontId="38" fillId="2" borderId="67" xfId="0" applyNumberFormat="1" applyFont="1" applyFill="1" applyBorder="1" applyAlignment="1" applyProtection="1">
      <alignment horizontal="centerContinuous"/>
      <protection locked="0"/>
    </xf>
    <xf numFmtId="4" fontId="38" fillId="2" borderId="28" xfId="0" applyNumberFormat="1" applyFont="1" applyFill="1" applyBorder="1" applyAlignment="1" applyProtection="1">
      <alignment horizontal="centerContinuous"/>
      <protection locked="0"/>
    </xf>
    <xf numFmtId="4" fontId="38" fillId="2" borderId="30" xfId="0" applyNumberFormat="1" applyFont="1" applyFill="1" applyBorder="1" applyAlignment="1" applyProtection="1">
      <alignment horizontal="centerContinuous"/>
      <protection locked="0"/>
    </xf>
    <xf numFmtId="2" fontId="38" fillId="2" borderId="67" xfId="0" applyNumberFormat="1" applyFont="1" applyFill="1" applyBorder="1" applyAlignment="1" applyProtection="1">
      <alignment horizontal="centerContinuous"/>
      <protection locked="0"/>
    </xf>
    <xf numFmtId="2" fontId="38" fillId="2" borderId="28" xfId="0" applyNumberFormat="1" applyFont="1" applyFill="1" applyBorder="1" applyAlignment="1" applyProtection="1">
      <alignment horizontal="centerContinuous"/>
      <protection locked="0"/>
    </xf>
    <xf numFmtId="2" fontId="38" fillId="2" borderId="30" xfId="0" applyNumberFormat="1" applyFont="1" applyFill="1" applyBorder="1" applyAlignment="1" applyProtection="1">
      <alignment horizontal="centerContinuous"/>
      <protection locked="0"/>
    </xf>
    <xf numFmtId="2" fontId="38" fillId="2" borderId="0" xfId="0" applyNumberFormat="1" applyFont="1" applyFill="1"/>
    <xf numFmtId="0" fontId="39" fillId="2" borderId="137" xfId="0" applyFont="1" applyFill="1" applyBorder="1" applyAlignment="1">
      <alignment horizontal="centerContinuous"/>
    </xf>
    <xf numFmtId="0" fontId="39" fillId="2" borderId="2" xfId="0" applyFont="1" applyFill="1" applyBorder="1" applyAlignment="1">
      <alignment horizontal="centerContinuous"/>
    </xf>
    <xf numFmtId="0" fontId="39" fillId="2" borderId="138" xfId="0" applyFont="1" applyFill="1" applyBorder="1" applyAlignment="1">
      <alignment horizontal="centerContinuous"/>
    </xf>
    <xf numFmtId="0" fontId="39" fillId="2" borderId="139" xfId="0" applyFont="1" applyFill="1" applyBorder="1" applyAlignment="1">
      <alignment horizontal="centerContinuous"/>
    </xf>
    <xf numFmtId="0" fontId="39" fillId="2" borderId="39" xfId="0" applyFont="1" applyFill="1" applyBorder="1"/>
    <xf numFmtId="0" fontId="39" fillId="2" borderId="86" xfId="0" applyFont="1" applyFill="1" applyBorder="1"/>
    <xf numFmtId="0" fontId="39" fillId="2" borderId="141" xfId="0" applyFont="1" applyFill="1" applyBorder="1"/>
    <xf numFmtId="0" fontId="38" fillId="2" borderId="0" xfId="0" applyFont="1" applyFill="1" applyBorder="1" applyAlignment="1">
      <alignment horizontal="centerContinuous"/>
    </xf>
    <xf numFmtId="0" fontId="0" fillId="2" borderId="0" xfId="0" applyFont="1" applyFill="1" applyAlignment="1">
      <alignment horizontal="centerContinuous"/>
    </xf>
    <xf numFmtId="0" fontId="39" fillId="2" borderId="142" xfId="0" applyFont="1" applyFill="1" applyBorder="1"/>
    <xf numFmtId="0" fontId="39" fillId="2" borderId="143" xfId="0" applyFont="1" applyFill="1" applyBorder="1"/>
    <xf numFmtId="169" fontId="39" fillId="2" borderId="144" xfId="0" applyNumberFormat="1" applyFont="1" applyFill="1" applyBorder="1" applyAlignment="1">
      <alignment horizontal="centerContinuous"/>
    </xf>
    <xf numFmtId="169" fontId="39" fillId="2" borderId="145" xfId="0" applyNumberFormat="1" applyFont="1" applyFill="1" applyBorder="1" applyAlignment="1">
      <alignment horizontal="centerContinuous"/>
    </xf>
    <xf numFmtId="169" fontId="39" fillId="2" borderId="146" xfId="0" applyNumberFormat="1" applyFont="1" applyFill="1" applyBorder="1" applyAlignment="1">
      <alignment horizontal="centerContinuous"/>
    </xf>
    <xf numFmtId="0" fontId="39" fillId="2" borderId="147" xfId="0" applyFont="1" applyFill="1" applyBorder="1"/>
    <xf numFmtId="0" fontId="39" fillId="2" borderId="148" xfId="0" applyFont="1" applyFill="1" applyBorder="1"/>
    <xf numFmtId="0" fontId="0" fillId="2" borderId="0" xfId="0" applyFill="1" applyBorder="1"/>
    <xf numFmtId="164" fontId="6" fillId="2" borderId="11" xfId="0" applyNumberFormat="1" applyFont="1" applyFill="1" applyBorder="1" applyAlignment="1" applyProtection="1">
      <alignment horizontal="centerContinuous"/>
      <protection hidden="1"/>
    </xf>
    <xf numFmtId="164" fontId="6" fillId="2" borderId="12" xfId="0" applyNumberFormat="1" applyFont="1" applyFill="1" applyBorder="1" applyAlignment="1" applyProtection="1">
      <alignment horizontal="centerContinuous"/>
      <protection hidden="1"/>
    </xf>
    <xf numFmtId="165" fontId="6" fillId="2" borderId="9" xfId="0" applyNumberFormat="1" applyFont="1" applyFill="1" applyBorder="1" applyAlignment="1" applyProtection="1">
      <alignment horizontal="centerContinuous"/>
      <protection hidden="1"/>
    </xf>
    <xf numFmtId="165" fontId="6" fillId="2" borderId="15" xfId="0" applyNumberFormat="1" applyFont="1" applyFill="1" applyBorder="1" applyAlignment="1" applyProtection="1">
      <alignment horizontal="centerContinuous"/>
      <protection hidden="1"/>
    </xf>
    <xf numFmtId="164" fontId="6" fillId="2" borderId="15" xfId="0" applyNumberFormat="1" applyFont="1" applyFill="1" applyBorder="1" applyAlignment="1" applyProtection="1">
      <alignment horizontal="centerContinuous"/>
      <protection hidden="1"/>
    </xf>
    <xf numFmtId="164" fontId="6" fillId="2" borderId="58" xfId="0" applyNumberFormat="1" applyFont="1" applyFill="1" applyBorder="1" applyAlignment="1" applyProtection="1">
      <alignment horizontal="centerContinuous"/>
      <protection hidden="1"/>
    </xf>
    <xf numFmtId="164" fontId="6" fillId="2" borderId="82" xfId="0" applyNumberFormat="1" applyFont="1" applyFill="1" applyBorder="1" applyAlignment="1" applyProtection="1">
      <alignment horizontal="centerContinuous"/>
      <protection hidden="1"/>
    </xf>
    <xf numFmtId="164" fontId="6" fillId="2" borderId="12" xfId="0" applyNumberFormat="1" applyFont="1" applyFill="1" applyBorder="1" applyAlignment="1" applyProtection="1">
      <protection hidden="1"/>
    </xf>
    <xf numFmtId="167" fontId="34" fillId="2" borderId="31" xfId="0" applyNumberFormat="1" applyFont="1" applyFill="1" applyBorder="1" applyAlignment="1" applyProtection="1">
      <alignment horizontal="centerContinuous" vertical="center"/>
      <protection hidden="1"/>
    </xf>
    <xf numFmtId="167" fontId="34" fillId="2" borderId="32" xfId="0" applyNumberFormat="1" applyFont="1" applyFill="1" applyBorder="1" applyAlignment="1" applyProtection="1">
      <alignment horizontal="centerContinuous" vertical="center"/>
      <protection hidden="1"/>
    </xf>
    <xf numFmtId="167" fontId="34" fillId="2" borderId="84" xfId="0" applyNumberFormat="1" applyFont="1" applyFill="1" applyBorder="1" applyAlignment="1" applyProtection="1">
      <alignment horizontal="centerContinuous" vertical="center"/>
      <protection hidden="1"/>
    </xf>
    <xf numFmtId="167" fontId="34" fillId="2" borderId="63" xfId="0" applyNumberFormat="1" applyFont="1" applyFill="1" applyBorder="1" applyAlignment="1" applyProtection="1">
      <alignment horizontal="centerContinuous" vertical="center"/>
      <protection hidden="1"/>
    </xf>
    <xf numFmtId="165" fontId="0" fillId="2" borderId="63" xfId="0" applyNumberFormat="1" applyFill="1" applyBorder="1" applyAlignment="1" applyProtection="1">
      <alignment horizontal="centerContinuous"/>
      <protection locked="0" hidden="1"/>
    </xf>
    <xf numFmtId="4" fontId="0" fillId="2" borderId="15" xfId="0" applyNumberFormat="1" applyFill="1" applyBorder="1" applyAlignment="1" applyProtection="1">
      <alignment horizontal="centerContinuous"/>
      <protection hidden="1"/>
    </xf>
    <xf numFmtId="4" fontId="0" fillId="2" borderId="9" xfId="0" applyNumberFormat="1" applyFill="1" applyBorder="1" applyAlignment="1" applyProtection="1">
      <alignment horizontal="centerContinuous"/>
      <protection hidden="1"/>
    </xf>
    <xf numFmtId="4" fontId="0" fillId="2" borderId="48" xfId="0" applyNumberFormat="1" applyFill="1" applyBorder="1" applyAlignment="1" applyProtection="1">
      <alignment horizontal="centerContinuous"/>
      <protection hidden="1"/>
    </xf>
    <xf numFmtId="4" fontId="0" fillId="2" borderId="45" xfId="0" applyNumberFormat="1" applyFill="1" applyBorder="1" applyAlignment="1" applyProtection="1">
      <alignment horizontal="centerContinuous"/>
      <protection hidden="1"/>
    </xf>
    <xf numFmtId="2" fontId="0" fillId="2" borderId="1" xfId="0" applyNumberFormat="1" applyFill="1" applyBorder="1" applyAlignment="1" applyProtection="1">
      <alignment horizontal="centerContinuous"/>
      <protection hidden="1"/>
    </xf>
    <xf numFmtId="2" fontId="0" fillId="2" borderId="3" xfId="0" applyNumberFormat="1" applyFill="1" applyBorder="1" applyAlignment="1" applyProtection="1">
      <alignment horizontal="centerContinuous"/>
      <protection hidden="1"/>
    </xf>
    <xf numFmtId="164" fontId="8" fillId="2" borderId="13" xfId="0" applyNumberFormat="1" applyFont="1" applyFill="1" applyBorder="1" applyAlignment="1" applyProtection="1">
      <alignment horizontal="centerContinuous" vertical="center"/>
      <protection hidden="1"/>
    </xf>
    <xf numFmtId="164" fontId="8" fillId="2" borderId="62" xfId="0" applyNumberFormat="1" applyFont="1" applyFill="1" applyBorder="1" applyAlignment="1" applyProtection="1">
      <alignment horizontal="centerContinuous" vertical="center"/>
      <protection hidden="1"/>
    </xf>
    <xf numFmtId="1" fontId="0" fillId="2" borderId="0" xfId="0" applyNumberFormat="1" applyFill="1"/>
    <xf numFmtId="2" fontId="0" fillId="2" borderId="0" xfId="0" applyNumberFormat="1" applyFill="1"/>
    <xf numFmtId="0" fontId="40" fillId="2" borderId="0" xfId="0" applyFont="1" applyFill="1"/>
    <xf numFmtId="0" fontId="41" fillId="2" borderId="19" xfId="0" applyFont="1" applyFill="1" applyBorder="1"/>
    <xf numFmtId="0" fontId="40" fillId="2" borderId="19" xfId="0" applyFont="1" applyFill="1" applyBorder="1"/>
    <xf numFmtId="0" fontId="40" fillId="2" borderId="13" xfId="0" applyFont="1" applyFill="1" applyBorder="1" applyAlignment="1">
      <alignment horizontal="centerContinuous"/>
    </xf>
    <xf numFmtId="0" fontId="43" fillId="2" borderId="0" xfId="0" applyFont="1" applyFill="1" applyAlignment="1">
      <alignment horizontal="right"/>
    </xf>
    <xf numFmtId="0" fontId="43" fillId="2" borderId="19" xfId="0" applyFont="1" applyFill="1" applyBorder="1"/>
    <xf numFmtId="0" fontId="43" fillId="2" borderId="0" xfId="0" applyFont="1" applyFill="1"/>
    <xf numFmtId="0" fontId="37" fillId="0" borderId="0" xfId="0" applyFont="1"/>
    <xf numFmtId="4" fontId="0" fillId="2" borderId="48" xfId="0" applyNumberFormat="1" applyFill="1" applyBorder="1" applyAlignment="1" applyProtection="1">
      <alignment horizontal="left"/>
      <protection hidden="1"/>
    </xf>
    <xf numFmtId="4" fontId="0" fillId="2" borderId="12" xfId="0" applyNumberFormat="1" applyFill="1" applyBorder="1" applyAlignment="1" applyProtection="1">
      <alignment horizontal="left"/>
      <protection hidden="1"/>
    </xf>
    <xf numFmtId="4" fontId="0" fillId="2" borderId="14" xfId="0" applyNumberFormat="1" applyFill="1" applyBorder="1" applyAlignment="1" applyProtection="1">
      <alignment horizontal="left"/>
      <protection hidden="1"/>
    </xf>
    <xf numFmtId="0" fontId="0" fillId="2" borderId="21" xfId="0" applyFill="1" applyBorder="1" applyProtection="1">
      <protection hidden="1"/>
    </xf>
    <xf numFmtId="0" fontId="14" fillId="2" borderId="0" xfId="0" applyFont="1" applyFill="1" applyAlignment="1" applyProtection="1">
      <alignment vertical="center"/>
      <protection hidden="1"/>
    </xf>
    <xf numFmtId="0" fontId="14" fillId="2" borderId="0" xfId="0" applyFont="1" applyFill="1" applyAlignment="1" applyProtection="1">
      <alignment horizontal="centerContinuous" vertical="center"/>
      <protection hidden="1"/>
    </xf>
    <xf numFmtId="0" fontId="25" fillId="2" borderId="0" xfId="0" applyFont="1" applyFill="1" applyAlignment="1" applyProtection="1">
      <alignment horizontal="right" vertical="center"/>
      <protection hidden="1"/>
    </xf>
    <xf numFmtId="49" fontId="8" fillId="2" borderId="0" xfId="0" applyNumberFormat="1" applyFont="1" applyFill="1" applyAlignment="1" applyProtection="1">
      <alignment horizontal="center"/>
      <protection hidden="1"/>
    </xf>
    <xf numFmtId="0" fontId="26" fillId="2" borderId="0" xfId="0" applyFont="1" applyFill="1" applyAlignment="1" applyProtection="1">
      <alignment horizontal="centerContinuous"/>
      <protection hidden="1"/>
    </xf>
    <xf numFmtId="0" fontId="0" fillId="2" borderId="4" xfId="0" applyFill="1" applyBorder="1" applyAlignment="1" applyProtection="1">
      <alignment horizontal="center"/>
      <protection hidden="1"/>
    </xf>
    <xf numFmtId="0" fontId="0" fillId="2" borderId="1" xfId="0" applyFill="1" applyBorder="1" applyAlignment="1" applyProtection="1">
      <alignment horizontal="centerContinuous"/>
      <protection hidden="1"/>
    </xf>
    <xf numFmtId="0" fontId="0" fillId="2" borderId="2" xfId="0" applyFill="1" applyBorder="1" applyAlignment="1" applyProtection="1">
      <alignment horizontal="centerContinuous"/>
      <protection hidden="1"/>
    </xf>
    <xf numFmtId="0" fontId="0" fillId="2" borderId="3" xfId="0" applyFill="1" applyBorder="1" applyAlignment="1" applyProtection="1">
      <alignment horizontal="centerContinuous"/>
      <protection hidden="1"/>
    </xf>
    <xf numFmtId="0" fontId="6" fillId="2" borderId="11" xfId="0" applyFont="1" applyFill="1" applyBorder="1" applyAlignment="1" applyProtection="1">
      <alignment horizontal="left"/>
      <protection hidden="1"/>
    </xf>
    <xf numFmtId="0" fontId="6" fillId="2" borderId="14" xfId="0" applyFont="1" applyFill="1" applyBorder="1" applyAlignment="1" applyProtection="1">
      <alignment horizontal="left"/>
      <protection hidden="1"/>
    </xf>
    <xf numFmtId="0" fontId="0" fillId="2" borderId="52" xfId="0" applyFill="1" applyBorder="1" applyAlignment="1" applyProtection="1">
      <alignment horizontal="center"/>
      <protection hidden="1"/>
    </xf>
    <xf numFmtId="0" fontId="6" fillId="2" borderId="23" xfId="0" applyFont="1" applyFill="1" applyBorder="1" applyAlignment="1" applyProtection="1">
      <alignment horizontal="left"/>
      <protection hidden="1"/>
    </xf>
    <xf numFmtId="0" fontId="6" fillId="2" borderId="17" xfId="0" applyFont="1" applyFill="1" applyBorder="1" applyAlignment="1" applyProtection="1">
      <alignment horizontal="left"/>
      <protection hidden="1"/>
    </xf>
    <xf numFmtId="0" fontId="6" fillId="2" borderId="24" xfId="0" applyFont="1" applyFill="1" applyBorder="1" applyAlignment="1" applyProtection="1">
      <alignment horizontal="left"/>
      <protection hidden="1"/>
    </xf>
    <xf numFmtId="0" fontId="0" fillId="2" borderId="40" xfId="0" applyFill="1" applyBorder="1" applyAlignment="1" applyProtection="1">
      <alignment horizontal="center"/>
      <protection hidden="1"/>
    </xf>
    <xf numFmtId="0" fontId="0" fillId="2" borderId="9" xfId="0" applyFill="1" applyBorder="1" applyAlignment="1" applyProtection="1">
      <alignment horizontal="left"/>
      <protection hidden="1"/>
    </xf>
    <xf numFmtId="0" fontId="0" fillId="2" borderId="10" xfId="0" applyFill="1" applyBorder="1" applyAlignment="1" applyProtection="1">
      <alignment horizontal="left"/>
      <protection hidden="1"/>
    </xf>
    <xf numFmtId="0" fontId="6" fillId="2" borderId="106" xfId="0" applyFont="1" applyFill="1" applyBorder="1" applyAlignment="1" applyProtection="1">
      <alignment horizontal="left"/>
      <protection hidden="1"/>
    </xf>
    <xf numFmtId="0" fontId="0" fillId="2" borderId="16" xfId="0" applyFill="1" applyBorder="1" applyAlignment="1" applyProtection="1">
      <alignment horizontal="left"/>
      <protection hidden="1"/>
    </xf>
    <xf numFmtId="0" fontId="0" fillId="2" borderId="107" xfId="0" applyFill="1" applyBorder="1" applyAlignment="1" applyProtection="1">
      <alignment horizontal="left"/>
      <protection hidden="1"/>
    </xf>
    <xf numFmtId="0" fontId="0" fillId="2" borderId="47" xfId="0" quotePrefix="1" applyFill="1" applyBorder="1" applyAlignment="1" applyProtection="1">
      <alignment horizontal="center"/>
      <protection hidden="1"/>
    </xf>
    <xf numFmtId="0" fontId="0" fillId="2" borderId="12" xfId="0" applyFill="1" applyBorder="1" applyAlignment="1" applyProtection="1">
      <alignment horizontal="left"/>
      <protection hidden="1"/>
    </xf>
    <xf numFmtId="0" fontId="0" fillId="2" borderId="14" xfId="0" applyFill="1" applyBorder="1" applyAlignment="1" applyProtection="1">
      <alignment horizontal="left"/>
      <protection hidden="1"/>
    </xf>
    <xf numFmtId="0" fontId="0" fillId="2" borderId="40" xfId="0" quotePrefix="1" applyFill="1" applyBorder="1" applyAlignment="1" applyProtection="1">
      <alignment horizontal="center"/>
      <protection hidden="1"/>
    </xf>
    <xf numFmtId="0" fontId="6" fillId="2" borderId="48" xfId="0" applyFont="1" applyFill="1" applyBorder="1" applyAlignment="1" applyProtection="1">
      <alignment horizontal="left"/>
      <protection hidden="1"/>
    </xf>
    <xf numFmtId="0" fontId="0" fillId="2" borderId="45" xfId="0" applyFill="1" applyBorder="1" applyAlignment="1" applyProtection="1">
      <alignment horizontal="left"/>
      <protection hidden="1"/>
    </xf>
    <xf numFmtId="0" fontId="0" fillId="2" borderId="46" xfId="0" applyFill="1" applyBorder="1" applyAlignment="1" applyProtection="1">
      <alignment horizontal="left"/>
      <protection hidden="1"/>
    </xf>
    <xf numFmtId="0" fontId="0" fillId="2" borderId="47" xfId="0" applyFill="1" applyBorder="1" applyAlignment="1" applyProtection="1">
      <alignment horizontal="center"/>
      <protection hidden="1"/>
    </xf>
    <xf numFmtId="0" fontId="0" fillId="2" borderId="17" xfId="0" applyFill="1" applyBorder="1" applyAlignment="1" applyProtection="1">
      <alignment horizontal="left"/>
      <protection hidden="1"/>
    </xf>
    <xf numFmtId="0" fontId="0" fillId="2" borderId="24" xfId="0" applyFill="1" applyBorder="1" applyAlignment="1" applyProtection="1">
      <alignment horizontal="left"/>
      <protection hidden="1"/>
    </xf>
    <xf numFmtId="0" fontId="0" fillId="2" borderId="0" xfId="0" applyFill="1" applyAlignment="1" applyProtection="1">
      <alignment horizontal="left"/>
      <protection hidden="1"/>
    </xf>
    <xf numFmtId="0" fontId="0" fillId="2" borderId="0" xfId="0" applyFill="1" applyAlignment="1" applyProtection="1">
      <alignment horizontal="centerContinuous"/>
      <protection hidden="1"/>
    </xf>
    <xf numFmtId="0" fontId="6" fillId="2" borderId="62" xfId="0" applyFont="1" applyFill="1" applyBorder="1" applyAlignment="1" applyProtection="1">
      <alignment horizontal="left" vertical="center"/>
      <protection hidden="1"/>
    </xf>
    <xf numFmtId="0" fontId="6" fillId="2" borderId="13" xfId="0" applyFont="1" applyFill="1" applyBorder="1" applyAlignment="1" applyProtection="1">
      <alignment horizontal="left" vertical="center"/>
      <protection hidden="1"/>
    </xf>
    <xf numFmtId="0" fontId="6" fillId="2" borderId="51" xfId="0" applyFont="1" applyFill="1" applyBorder="1" applyAlignment="1" applyProtection="1">
      <alignment horizontal="left" vertical="center"/>
      <protection hidden="1"/>
    </xf>
    <xf numFmtId="0" fontId="0" fillId="2" borderId="0" xfId="0" applyFill="1" applyAlignment="1" applyProtection="1">
      <alignment horizontal="right"/>
      <protection hidden="1"/>
    </xf>
    <xf numFmtId="0" fontId="6" fillId="2" borderId="18" xfId="0" applyFont="1" applyFill="1" applyBorder="1" applyAlignment="1" applyProtection="1">
      <alignment horizontal="left" vertical="center"/>
      <protection hidden="1"/>
    </xf>
    <xf numFmtId="0" fontId="6" fillId="2" borderId="19" xfId="0" applyFont="1" applyFill="1" applyBorder="1" applyAlignment="1" applyProtection="1">
      <alignment horizontal="left" vertical="center"/>
      <protection hidden="1"/>
    </xf>
    <xf numFmtId="0" fontId="6" fillId="2" borderId="20" xfId="0" applyFont="1" applyFill="1" applyBorder="1" applyAlignment="1" applyProtection="1">
      <alignment horizontal="left" vertical="center"/>
      <protection hidden="1"/>
    </xf>
    <xf numFmtId="0" fontId="16" fillId="2" borderId="0" xfId="0" applyFont="1" applyFill="1" applyAlignment="1" applyProtection="1">
      <alignment vertical="justify" wrapText="1"/>
      <protection hidden="1"/>
    </xf>
    <xf numFmtId="0" fontId="17" fillId="2" borderId="0" xfId="0" applyFont="1" applyFill="1" applyAlignment="1" applyProtection="1">
      <alignment horizontal="right"/>
      <protection hidden="1"/>
    </xf>
    <xf numFmtId="0" fontId="18" fillId="2" borderId="0" xfId="0" applyFont="1" applyFill="1" applyProtection="1">
      <protection hidden="1"/>
    </xf>
    <xf numFmtId="0" fontId="19" fillId="2" borderId="0" xfId="0" applyFont="1" applyFill="1" applyProtection="1">
      <protection hidden="1"/>
    </xf>
    <xf numFmtId="0" fontId="20" fillId="2" borderId="0" xfId="0" applyFont="1" applyFill="1" applyAlignment="1" applyProtection="1">
      <alignment horizontal="left"/>
      <protection hidden="1"/>
    </xf>
    <xf numFmtId="0" fontId="9" fillId="2" borderId="0" xfId="0" applyFont="1" applyFill="1" applyProtection="1">
      <protection hidden="1"/>
    </xf>
    <xf numFmtId="0" fontId="15" fillId="2" borderId="0" xfId="0" applyFont="1" applyFill="1" applyAlignment="1" applyProtection="1">
      <alignment horizontal="left"/>
      <protection hidden="1"/>
    </xf>
    <xf numFmtId="0" fontId="20" fillId="2" borderId="0" xfId="0" applyFont="1" applyFill="1" applyProtection="1">
      <protection hidden="1"/>
    </xf>
    <xf numFmtId="0" fontId="27" fillId="2" borderId="0" xfId="0" applyFont="1" applyFill="1" applyProtection="1">
      <protection hidden="1"/>
    </xf>
    <xf numFmtId="0" fontId="22" fillId="2" borderId="0" xfId="0" applyFont="1" applyFill="1" applyProtection="1">
      <protection hidden="1"/>
    </xf>
    <xf numFmtId="0" fontId="23" fillId="2" borderId="0" xfId="0" applyFont="1" applyFill="1" applyProtection="1">
      <protection hidden="1"/>
    </xf>
    <xf numFmtId="0" fontId="6" fillId="9" borderId="0" xfId="0" applyFont="1" applyFill="1" applyBorder="1" applyAlignment="1" applyProtection="1">
      <alignment horizontal="left"/>
      <protection hidden="1"/>
    </xf>
    <xf numFmtId="0" fontId="6" fillId="9" borderId="31" xfId="0" applyFont="1" applyFill="1" applyBorder="1" applyAlignment="1" applyProtection="1">
      <alignment horizontal="left"/>
      <protection hidden="1"/>
    </xf>
    <xf numFmtId="0" fontId="6" fillId="9" borderId="32" xfId="0" applyFont="1" applyFill="1" applyBorder="1" applyAlignment="1" applyProtection="1">
      <alignment horizontal="left"/>
      <protection hidden="1"/>
    </xf>
    <xf numFmtId="0" fontId="6" fillId="9" borderId="87" xfId="0" applyFont="1" applyFill="1" applyBorder="1" applyAlignment="1" applyProtection="1">
      <alignment horizontal="left"/>
      <protection hidden="1"/>
    </xf>
    <xf numFmtId="0" fontId="6" fillId="9" borderId="39" xfId="0" applyFont="1" applyFill="1" applyBorder="1" applyAlignment="1" applyProtection="1">
      <alignment horizontal="left"/>
      <protection hidden="1"/>
    </xf>
    <xf numFmtId="0" fontId="6" fillId="9" borderId="86" xfId="0" applyFont="1" applyFill="1" applyBorder="1" applyAlignment="1" applyProtection="1">
      <alignment horizontal="left"/>
      <protection hidden="1"/>
    </xf>
    <xf numFmtId="0" fontId="6" fillId="9" borderId="84" xfId="0" applyFont="1" applyFill="1" applyBorder="1" applyAlignment="1" applyProtection="1">
      <alignment horizontal="left"/>
      <protection hidden="1"/>
    </xf>
    <xf numFmtId="0" fontId="6" fillId="9" borderId="63" xfId="0" applyFont="1" applyFill="1" applyBorder="1" applyAlignment="1" applyProtection="1">
      <alignment horizontal="left"/>
      <protection hidden="1"/>
    </xf>
    <xf numFmtId="0" fontId="6" fillId="9" borderId="85" xfId="0" applyFont="1" applyFill="1" applyBorder="1" applyAlignment="1" applyProtection="1">
      <alignment horizontal="left"/>
      <protection hidden="1"/>
    </xf>
    <xf numFmtId="164" fontId="8" fillId="9" borderId="0" xfId="0" applyNumberFormat="1" applyFont="1" applyFill="1" applyBorder="1" applyAlignment="1" applyProtection="1">
      <alignment horizontal="centerContinuous"/>
      <protection hidden="1"/>
    </xf>
    <xf numFmtId="14" fontId="9" fillId="9" borderId="0" xfId="0" applyNumberFormat="1" applyFont="1" applyFill="1" applyBorder="1" applyAlignment="1" applyProtection="1">
      <alignment horizontal="centerContinuous"/>
      <protection hidden="1"/>
    </xf>
    <xf numFmtId="0" fontId="9" fillId="9" borderId="84" xfId="0" applyFont="1" applyFill="1" applyBorder="1" applyAlignment="1" applyProtection="1">
      <alignment horizontal="left"/>
      <protection hidden="1"/>
    </xf>
    <xf numFmtId="0" fontId="9" fillId="9" borderId="63" xfId="0" applyFont="1" applyFill="1" applyBorder="1" applyAlignment="1" applyProtection="1">
      <alignment horizontal="left"/>
      <protection hidden="1"/>
    </xf>
    <xf numFmtId="0" fontId="9" fillId="9" borderId="85" xfId="0" applyFont="1" applyFill="1" applyBorder="1" applyAlignment="1" applyProtection="1">
      <alignment horizontal="left"/>
      <protection hidden="1"/>
    </xf>
    <xf numFmtId="0" fontId="6" fillId="9" borderId="93" xfId="0" applyFont="1" applyFill="1" applyBorder="1" applyAlignment="1" applyProtection="1">
      <alignment horizontal="left"/>
      <protection hidden="1"/>
    </xf>
    <xf numFmtId="0" fontId="6" fillId="9" borderId="34" xfId="0" applyFont="1" applyFill="1" applyBorder="1" applyAlignment="1" applyProtection="1">
      <alignment horizontal="left"/>
      <protection hidden="1"/>
    </xf>
    <xf numFmtId="0" fontId="6" fillId="9" borderId="9" xfId="0" applyFont="1" applyFill="1" applyBorder="1" applyAlignment="1" applyProtection="1">
      <alignment horizontal="left"/>
      <protection hidden="1"/>
    </xf>
    <xf numFmtId="0" fontId="6" fillId="9" borderId="55" xfId="0" applyFont="1" applyFill="1" applyBorder="1" applyAlignment="1" applyProtection="1">
      <alignment horizontal="left"/>
      <protection hidden="1"/>
    </xf>
    <xf numFmtId="0" fontId="9" fillId="9" borderId="93" xfId="0" applyFont="1" applyFill="1" applyBorder="1" applyAlignment="1" applyProtection="1">
      <alignment horizontal="left"/>
      <protection hidden="1"/>
    </xf>
    <xf numFmtId="0" fontId="9" fillId="9" borderId="34" xfId="0" applyFont="1" applyFill="1" applyBorder="1" applyAlignment="1" applyProtection="1">
      <alignment horizontal="left"/>
      <protection hidden="1"/>
    </xf>
    <xf numFmtId="0" fontId="9" fillId="9" borderId="38" xfId="0" applyFont="1" applyFill="1" applyBorder="1" applyAlignment="1" applyProtection="1">
      <alignment horizontal="left"/>
      <protection hidden="1"/>
    </xf>
    <xf numFmtId="0" fontId="9" fillId="9" borderId="9" xfId="0" applyFont="1" applyFill="1" applyBorder="1" applyAlignment="1" applyProtection="1">
      <alignment horizontal="left"/>
      <protection hidden="1"/>
    </xf>
    <xf numFmtId="0" fontId="9" fillId="9" borderId="41" xfId="0" applyFont="1" applyFill="1" applyBorder="1" applyAlignment="1" applyProtection="1">
      <alignment horizontal="left"/>
      <protection hidden="1"/>
    </xf>
    <xf numFmtId="14" fontId="9" fillId="9" borderId="149" xfId="0" applyNumberFormat="1" applyFont="1" applyFill="1" applyBorder="1" applyAlignment="1" applyProtection="1">
      <alignment horizontal="centerContinuous"/>
      <protection hidden="1"/>
    </xf>
    <xf numFmtId="0" fontId="6" fillId="9" borderId="41" xfId="0" applyFont="1" applyFill="1" applyBorder="1" applyAlignment="1" applyProtection="1">
      <alignment horizontal="left"/>
      <protection hidden="1"/>
    </xf>
    <xf numFmtId="0" fontId="9" fillId="9" borderId="55" xfId="0" applyFont="1" applyFill="1" applyBorder="1" applyAlignment="1" applyProtection="1">
      <alignment horizontal="left"/>
      <protection hidden="1"/>
    </xf>
    <xf numFmtId="0" fontId="6" fillId="9" borderId="38" xfId="0" applyFont="1" applyFill="1" applyBorder="1" applyAlignment="1" applyProtection="1">
      <alignment horizontal="left"/>
      <protection hidden="1"/>
    </xf>
    <xf numFmtId="0" fontId="8" fillId="2" borderId="93" xfId="0" applyFont="1" applyFill="1" applyBorder="1" applyAlignment="1" applyProtection="1">
      <alignment horizontal="left"/>
      <protection locked="0" hidden="1"/>
    </xf>
    <xf numFmtId="0" fontId="8" fillId="2" borderId="34" xfId="0" applyFont="1" applyFill="1" applyBorder="1" applyAlignment="1" applyProtection="1">
      <alignment horizontal="left"/>
      <protection locked="0" hidden="1"/>
    </xf>
    <xf numFmtId="0" fontId="8" fillId="2" borderId="38" xfId="0" applyFont="1" applyFill="1" applyBorder="1" applyAlignment="1" applyProtection="1">
      <alignment horizontal="left"/>
      <protection locked="0" hidden="1"/>
    </xf>
    <xf numFmtId="0" fontId="8" fillId="2" borderId="55" xfId="0" applyFont="1" applyFill="1" applyBorder="1" applyAlignment="1" applyProtection="1">
      <alignment horizontal="left"/>
      <protection locked="0" hidden="1"/>
    </xf>
    <xf numFmtId="0" fontId="0" fillId="2" borderId="41" xfId="0" applyFill="1" applyBorder="1" applyAlignment="1" applyProtection="1">
      <alignment horizontal="left"/>
      <protection locked="0" hidden="1"/>
    </xf>
    <xf numFmtId="164" fontId="8" fillId="2" borderId="55" xfId="0" applyNumberFormat="1" applyFont="1" applyFill="1" applyBorder="1" applyAlignment="1" applyProtection="1">
      <alignment horizontal="centerContinuous"/>
      <protection locked="0" hidden="1"/>
    </xf>
    <xf numFmtId="14" fontId="8" fillId="2" borderId="41" xfId="0" applyNumberFormat="1" applyFont="1" applyFill="1" applyBorder="1" applyAlignment="1" applyProtection="1">
      <alignment horizontal="centerContinuous"/>
      <protection locked="0" hidden="1"/>
    </xf>
    <xf numFmtId="0" fontId="8" fillId="2" borderId="84" xfId="0" applyFont="1" applyFill="1" applyBorder="1" applyAlignment="1" applyProtection="1">
      <alignment horizontal="left"/>
      <protection locked="0" hidden="1"/>
    </xf>
    <xf numFmtId="0" fontId="0" fillId="2" borderId="61" xfId="0" applyFill="1" applyBorder="1" applyAlignment="1" applyProtection="1">
      <alignment horizontal="left"/>
      <protection locked="0" hidden="1"/>
    </xf>
    <xf numFmtId="0" fontId="44" fillId="0" borderId="0" xfId="0" applyFont="1"/>
    <xf numFmtId="0" fontId="0" fillId="0" borderId="20" xfId="0" applyBorder="1" applyAlignment="1">
      <alignment vertical="center"/>
    </xf>
    <xf numFmtId="0" fontId="0" fillId="0" borderId="103" xfId="0" applyBorder="1"/>
    <xf numFmtId="0" fontId="0" fillId="0" borderId="123" xfId="0" applyFill="1" applyBorder="1"/>
    <xf numFmtId="0" fontId="44" fillId="0" borderId="33" xfId="0" applyFont="1" applyBorder="1" applyAlignment="1">
      <alignment vertical="center"/>
    </xf>
    <xf numFmtId="0" fontId="0" fillId="10" borderId="125" xfId="0" applyFill="1" applyBorder="1"/>
    <xf numFmtId="0" fontId="0" fillId="10" borderId="1" xfId="0" applyFill="1" applyBorder="1"/>
    <xf numFmtId="0" fontId="0" fillId="10" borderId="4" xfId="0" applyFill="1" applyBorder="1"/>
    <xf numFmtId="0" fontId="0" fillId="10" borderId="126" xfId="0" applyFill="1" applyBorder="1"/>
    <xf numFmtId="0" fontId="0" fillId="10" borderId="127" xfId="0" applyFill="1" applyBorder="1"/>
    <xf numFmtId="0" fontId="0" fillId="10" borderId="128" xfId="0" applyFill="1" applyBorder="1"/>
    <xf numFmtId="0" fontId="0" fillId="2" borderId="25" xfId="0" applyFill="1" applyBorder="1"/>
    <xf numFmtId="0" fontId="0" fillId="2" borderId="26" xfId="0" applyFill="1" applyBorder="1"/>
    <xf numFmtId="0" fontId="0" fillId="2" borderId="151" xfId="0" applyFill="1" applyBorder="1"/>
    <xf numFmtId="0" fontId="0" fillId="2" borderId="152" xfId="0" applyFill="1" applyBorder="1"/>
    <xf numFmtId="0" fontId="0" fillId="2" borderId="153" xfId="0" applyFill="1" applyBorder="1"/>
    <xf numFmtId="0" fontId="0" fillId="2" borderId="154" xfId="0" applyFill="1" applyBorder="1"/>
    <xf numFmtId="0" fontId="0" fillId="2" borderId="76" xfId="0" applyFill="1" applyBorder="1"/>
    <xf numFmtId="0" fontId="0" fillId="2" borderId="138" xfId="0" applyFill="1" applyBorder="1"/>
    <xf numFmtId="0" fontId="0" fillId="2" borderId="155" xfId="0" applyFill="1" applyBorder="1"/>
    <xf numFmtId="0" fontId="48" fillId="11" borderId="150" xfId="0" applyFont="1" applyFill="1" applyBorder="1"/>
    <xf numFmtId="0" fontId="47" fillId="11" borderId="150" xfId="0" applyFont="1" applyFill="1" applyBorder="1"/>
    <xf numFmtId="0" fontId="49" fillId="2" borderId="0" xfId="0" applyFont="1" applyFill="1"/>
    <xf numFmtId="0" fontId="42" fillId="2" borderId="31" xfId="0" applyFont="1" applyFill="1" applyBorder="1"/>
    <xf numFmtId="0" fontId="42" fillId="2" borderId="32" xfId="0" applyFont="1" applyFill="1" applyBorder="1"/>
    <xf numFmtId="0" fontId="42" fillId="2" borderId="87" xfId="0" applyFont="1" applyFill="1" applyBorder="1"/>
    <xf numFmtId="0" fontId="42" fillId="2" borderId="39" xfId="0" applyFont="1" applyFill="1" applyBorder="1"/>
    <xf numFmtId="0" fontId="42" fillId="2" borderId="0" xfId="0" applyFont="1" applyFill="1" applyBorder="1"/>
    <xf numFmtId="0" fontId="42" fillId="2" borderId="86" xfId="0" applyFont="1" applyFill="1" applyBorder="1"/>
    <xf numFmtId="0" fontId="0" fillId="2" borderId="86" xfId="0" applyFill="1" applyBorder="1"/>
    <xf numFmtId="0" fontId="42" fillId="2" borderId="84" xfId="0" applyFont="1" applyFill="1" applyBorder="1"/>
    <xf numFmtId="0" fontId="0" fillId="2" borderId="63" xfId="0" applyFill="1" applyBorder="1"/>
    <xf numFmtId="0" fontId="0" fillId="2" borderId="85" xfId="0" applyFill="1" applyBorder="1"/>
    <xf numFmtId="0" fontId="46" fillId="12" borderId="0" xfId="0" applyFont="1" applyFill="1"/>
    <xf numFmtId="0" fontId="0" fillId="13" borderId="0" xfId="0" applyFill="1"/>
    <xf numFmtId="0" fontId="0" fillId="13" borderId="117" xfId="0" applyFill="1" applyBorder="1" applyAlignment="1" applyProtection="1">
      <alignment horizontal="center"/>
      <protection hidden="1"/>
    </xf>
    <xf numFmtId="0" fontId="0" fillId="13" borderId="5" xfId="0" applyFill="1" applyBorder="1" applyAlignment="1" applyProtection="1">
      <alignment horizontal="center"/>
      <protection hidden="1"/>
    </xf>
    <xf numFmtId="0" fontId="0" fillId="13" borderId="88" xfId="0" applyFill="1" applyBorder="1" applyAlignment="1" applyProtection="1">
      <alignment horizontal="center"/>
      <protection hidden="1"/>
    </xf>
    <xf numFmtId="0" fontId="0" fillId="13" borderId="0" xfId="0" applyFill="1" applyProtection="1">
      <protection hidden="1"/>
    </xf>
    <xf numFmtId="2" fontId="51" fillId="14" borderId="118" xfId="0" applyNumberFormat="1" applyFont="1" applyFill="1" applyBorder="1" applyAlignment="1">
      <alignment horizontal="center"/>
    </xf>
    <xf numFmtId="169" fontId="51" fillId="14" borderId="4" xfId="0" applyNumberFormat="1" applyFont="1" applyFill="1" applyBorder="1" applyAlignment="1">
      <alignment horizontal="right"/>
    </xf>
    <xf numFmtId="2" fontId="51" fillId="14" borderId="4" xfId="0" applyNumberFormat="1" applyFont="1" applyFill="1" applyBorder="1" applyAlignment="1">
      <alignment horizontal="center"/>
    </xf>
    <xf numFmtId="2" fontId="51" fillId="14" borderId="119" xfId="0" applyNumberFormat="1" applyFont="1" applyFill="1" applyBorder="1" applyAlignment="1">
      <alignment horizontal="center"/>
    </xf>
    <xf numFmtId="4" fontId="51" fillId="14" borderId="118" xfId="0" applyNumberFormat="1" applyFont="1" applyFill="1" applyBorder="1" applyAlignment="1">
      <alignment horizontal="center"/>
    </xf>
    <xf numFmtId="0" fontId="52" fillId="14" borderId="4" xfId="0" applyFont="1" applyFill="1" applyBorder="1" applyAlignment="1">
      <alignment horizontal="right"/>
    </xf>
    <xf numFmtId="0" fontId="53" fillId="14" borderId="4" xfId="0" applyFont="1" applyFill="1" applyBorder="1" applyAlignment="1">
      <alignment horizontal="center"/>
    </xf>
    <xf numFmtId="0" fontId="52" fillId="14" borderId="4" xfId="0" applyFont="1" applyFill="1" applyBorder="1" applyAlignment="1">
      <alignment horizontal="center"/>
    </xf>
    <xf numFmtId="0" fontId="51" fillId="14" borderId="4" xfId="0" applyFont="1" applyFill="1" applyBorder="1" applyProtection="1">
      <protection hidden="1"/>
    </xf>
    <xf numFmtId="0" fontId="51" fillId="14" borderId="4" xfId="0" applyFont="1" applyFill="1" applyBorder="1"/>
    <xf numFmtId="164" fontId="9" fillId="9" borderId="39" xfId="0" applyNumberFormat="1" applyFont="1" applyFill="1" applyBorder="1" applyAlignment="1" applyProtection="1">
      <alignment horizontal="center"/>
      <protection hidden="1"/>
    </xf>
    <xf numFmtId="164" fontId="9" fillId="9" borderId="0" xfId="0" applyNumberFormat="1" applyFont="1" applyFill="1" applyBorder="1" applyAlignment="1" applyProtection="1">
      <alignment horizontal="center"/>
      <protection hidden="1"/>
    </xf>
    <xf numFmtId="164" fontId="6" fillId="2" borderId="11" xfId="0" applyNumberFormat="1" applyFont="1" applyFill="1" applyBorder="1" applyAlignment="1" applyProtection="1">
      <alignment horizontal="center"/>
      <protection hidden="1"/>
    </xf>
    <xf numFmtId="164" fontId="6" fillId="2" borderId="12" xfId="0" applyNumberFormat="1" applyFont="1" applyFill="1" applyBorder="1" applyAlignment="1" applyProtection="1">
      <alignment horizontal="center"/>
      <protection hidden="1"/>
    </xf>
    <xf numFmtId="4" fontId="0" fillId="2" borderId="15" xfId="0" applyNumberFormat="1" applyFill="1" applyBorder="1" applyAlignment="1" applyProtection="1">
      <alignment horizontal="left"/>
      <protection hidden="1"/>
    </xf>
    <xf numFmtId="4" fontId="0" fillId="2" borderId="9" xfId="0" applyNumberFormat="1" applyFill="1" applyBorder="1" applyAlignment="1" applyProtection="1">
      <alignment horizontal="left"/>
      <protection hidden="1"/>
    </xf>
    <xf numFmtId="4" fontId="0" fillId="2" borderId="11" xfId="0" applyNumberFormat="1" applyFill="1" applyBorder="1" applyAlignment="1" applyProtection="1">
      <alignment horizontal="left"/>
      <protection hidden="1"/>
    </xf>
    <xf numFmtId="4" fontId="0" fillId="2" borderId="12" xfId="0" applyNumberFormat="1" applyFill="1" applyBorder="1" applyAlignment="1" applyProtection="1">
      <alignment horizontal="left"/>
      <protection hidden="1"/>
    </xf>
    <xf numFmtId="4" fontId="0" fillId="2" borderId="48" xfId="0" applyNumberFormat="1" applyFill="1" applyBorder="1" applyAlignment="1" applyProtection="1">
      <alignment horizontal="left"/>
      <protection hidden="1"/>
    </xf>
    <xf numFmtId="4" fontId="0" fillId="2" borderId="45" xfId="0" applyNumberFormat="1" applyFill="1" applyBorder="1" applyAlignment="1" applyProtection="1">
      <alignment horizontal="left"/>
      <protection hidden="1"/>
    </xf>
    <xf numFmtId="0" fontId="50" fillId="13" borderId="1" xfId="0" applyFont="1" applyFill="1" applyBorder="1" applyAlignment="1" applyProtection="1">
      <alignment horizontal="center"/>
      <protection hidden="1"/>
    </xf>
    <xf numFmtId="0" fontId="50" fillId="13" borderId="2" xfId="0" applyFont="1" applyFill="1" applyBorder="1" applyAlignment="1" applyProtection="1">
      <alignment horizontal="center"/>
      <protection hidden="1"/>
    </xf>
    <xf numFmtId="0" fontId="50" fillId="13" borderId="3" xfId="0" applyFont="1" applyFill="1" applyBorder="1" applyAlignment="1" applyProtection="1">
      <alignment horizontal="center"/>
      <protection hidden="1"/>
    </xf>
    <xf numFmtId="0" fontId="8" fillId="13" borderId="67" xfId="0" applyFont="1" applyFill="1" applyBorder="1" applyAlignment="1" applyProtection="1">
      <alignment horizontal="center"/>
      <protection hidden="1"/>
    </xf>
    <xf numFmtId="0" fontId="8" fillId="13" borderId="28" xfId="0" applyFont="1" applyFill="1" applyBorder="1" applyAlignment="1" applyProtection="1">
      <alignment horizontal="center"/>
      <protection hidden="1"/>
    </xf>
    <xf numFmtId="0" fontId="8" fillId="13" borderId="30" xfId="0" applyFont="1" applyFill="1" applyBorder="1" applyAlignment="1" applyProtection="1">
      <alignment horizontal="center"/>
      <protection hidden="1"/>
    </xf>
  </cellXfs>
  <cellStyles count="1">
    <cellStyle name="Normal" xfId="0" builtinId="0"/>
  </cellStyles>
  <dxfs count="9">
    <dxf>
      <fill>
        <patternFill patternType="solid">
          <fgColor indexed="64"/>
          <bgColor theme="4" tint="0.5999938962981048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4" tint="0.5999938962981048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4" tint="0.5999938962981048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4" tint="0.59999389629810485"/>
        </patternFill>
      </fill>
      <border diagonalUp="0" diagonalDown="0" outline="0">
        <left style="medium">
          <color indexed="10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medium">
          <color indexed="64"/>
        </left>
        <right style="medium">
          <color indexed="10"/>
        </right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ustomXml" Target="../ink/ink2.xml"/><Relationship Id="rId2" Type="http://schemas.openxmlformats.org/officeDocument/2006/relationships/image" Target="../media/image2.png"/><Relationship Id="rId1" Type="http://schemas.openxmlformats.org/officeDocument/2006/relationships/customXml" Target="../ink/ink1.xml"/><Relationship Id="rId4" Type="http://schemas.openxmlformats.org/officeDocument/2006/relationships/customXml" Target="../ink/ink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6350</xdr:colOff>
          <xdr:row>4</xdr:row>
          <xdr:rowOff>25400</xdr:rowOff>
        </xdr:from>
        <xdr:to>
          <xdr:col>31</xdr:col>
          <xdr:colOff>12700</xdr:colOff>
          <xdr:row>5</xdr:row>
          <xdr:rowOff>114300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Time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31750</xdr:colOff>
          <xdr:row>6</xdr:row>
          <xdr:rowOff>101600</xdr:rowOff>
        </xdr:from>
        <xdr:to>
          <xdr:col>31</xdr:col>
          <xdr:colOff>38100</xdr:colOff>
          <xdr:row>7</xdr:row>
          <xdr:rowOff>196850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Input Draft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19050</xdr:colOff>
      <xdr:row>5</xdr:row>
      <xdr:rowOff>0</xdr:rowOff>
    </xdr:to>
    <xdr:pic>
      <xdr:nvPicPr>
        <xdr:cNvPr id="1029" name="Picture 5">
          <a:extLst>
            <a:ext uri="{FF2B5EF4-FFF2-40B4-BE49-F238E27FC236}">
              <a16:creationId xmlns:a16="http://schemas.microsoft.com/office/drawing/2014/main" id="{00000000-0008-0000-0200-00000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35100" cy="825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228600</xdr:colOff>
      <xdr:row>4</xdr:row>
      <xdr:rowOff>101600</xdr:rowOff>
    </xdr:to>
    <xdr:pic>
      <xdr:nvPicPr>
        <xdr:cNvPr id="2065" name="Picture 5">
          <a:extLst>
            <a:ext uri="{FF2B5EF4-FFF2-40B4-BE49-F238E27FC236}">
              <a16:creationId xmlns:a16="http://schemas.microsoft.com/office/drawing/2014/main" id="{00000000-0008-0000-0300-00001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35100" cy="825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6</xdr:col>
      <xdr:colOff>88900</xdr:colOff>
      <xdr:row>9</xdr:row>
      <xdr:rowOff>0</xdr:rowOff>
    </xdr:from>
    <xdr:to>
      <xdr:col>16</xdr:col>
      <xdr:colOff>139700</xdr:colOff>
      <xdr:row>10</xdr:row>
      <xdr:rowOff>6350</xdr:rowOff>
    </xdr:to>
    <xdr:sp macro="" textlink="">
      <xdr:nvSpPr>
        <xdr:cNvPr id="2066" name="AutoShape 14">
          <a:extLst>
            <a:ext uri="{FF2B5EF4-FFF2-40B4-BE49-F238E27FC236}">
              <a16:creationId xmlns:a16="http://schemas.microsoft.com/office/drawing/2014/main" id="{00000000-0008-0000-0300-000012080000}"/>
            </a:ext>
          </a:extLst>
        </xdr:cNvPr>
        <xdr:cNvSpPr>
          <a:spLocks/>
        </xdr:cNvSpPr>
      </xdr:nvSpPr>
      <xdr:spPr bwMode="auto">
        <a:xfrm>
          <a:off x="2006600" y="1562100"/>
          <a:ext cx="3390900" cy="254000"/>
        </a:xfrm>
        <a:custGeom>
          <a:avLst/>
          <a:gdLst>
            <a:gd name="T0" fmla="*/ 2074 w 16384"/>
            <a:gd name="T1" fmla="*/ 0 h 16384"/>
            <a:gd name="T2" fmla="*/ 583 w 16384"/>
            <a:gd name="T3" fmla="*/ 784 h 16384"/>
            <a:gd name="T4" fmla="*/ 0 w 16384"/>
            <a:gd name="T5" fmla="*/ 2789 h 16384"/>
            <a:gd name="T6" fmla="*/ 0 w 16384"/>
            <a:gd name="T7" fmla="*/ 13683 h 16384"/>
            <a:gd name="T8" fmla="*/ 583 w 16384"/>
            <a:gd name="T9" fmla="*/ 15600 h 16384"/>
            <a:gd name="T10" fmla="*/ 2074 w 16384"/>
            <a:gd name="T11" fmla="*/ 16384 h 16384"/>
            <a:gd name="T12" fmla="*/ 14375 w 16384"/>
            <a:gd name="T13" fmla="*/ 16384 h 16384"/>
            <a:gd name="T14" fmla="*/ 15801 w 16384"/>
            <a:gd name="T15" fmla="*/ 15600 h 16384"/>
            <a:gd name="T16" fmla="*/ 16384 w 16384"/>
            <a:gd name="T17" fmla="*/ 13683 h 16384"/>
            <a:gd name="T18" fmla="*/ 16384 w 16384"/>
            <a:gd name="T19" fmla="*/ 2789 h 16384"/>
            <a:gd name="T20" fmla="*/ 15801 w 16384"/>
            <a:gd name="T21" fmla="*/ 784 h 16384"/>
            <a:gd name="T22" fmla="*/ 14375 w 16384"/>
            <a:gd name="T23" fmla="*/ 0 h 16384"/>
            <a:gd name="T24" fmla="*/ 2074 w 16384"/>
            <a:gd name="T25" fmla="*/ 0 h 1638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</a:cxnLst>
          <a:rect l="0" t="0" r="r" b="b"/>
          <a:pathLst>
            <a:path w="16384" h="16384">
              <a:moveTo>
                <a:pt x="2074" y="0"/>
              </a:moveTo>
              <a:lnTo>
                <a:pt x="583" y="784"/>
              </a:lnTo>
              <a:lnTo>
                <a:pt x="0" y="2789"/>
              </a:lnTo>
              <a:lnTo>
                <a:pt x="0" y="13683"/>
              </a:lnTo>
              <a:lnTo>
                <a:pt x="583" y="15600"/>
              </a:lnTo>
              <a:lnTo>
                <a:pt x="2074" y="16384"/>
              </a:lnTo>
              <a:lnTo>
                <a:pt x="14375" y="16384"/>
              </a:lnTo>
              <a:lnTo>
                <a:pt x="15801" y="15600"/>
              </a:lnTo>
              <a:lnTo>
                <a:pt x="16384" y="13683"/>
              </a:lnTo>
              <a:lnTo>
                <a:pt x="16384" y="2789"/>
              </a:lnTo>
              <a:lnTo>
                <a:pt x="15801" y="784"/>
              </a:lnTo>
              <a:lnTo>
                <a:pt x="14375" y="0"/>
              </a:lnTo>
              <a:lnTo>
                <a:pt x="2074" y="0"/>
              </a:lnTo>
              <a:close/>
            </a:path>
          </a:pathLst>
        </a:custGeom>
        <a:noFill/>
        <a:ln w="952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3</xdr:col>
      <xdr:colOff>260350</xdr:colOff>
      <xdr:row>70</xdr:row>
      <xdr:rowOff>6350</xdr:rowOff>
    </xdr:from>
    <xdr:to>
      <xdr:col>21</xdr:col>
      <xdr:colOff>209550</xdr:colOff>
      <xdr:row>70</xdr:row>
      <xdr:rowOff>6350</xdr:rowOff>
    </xdr:to>
    <xdr:sp macro="" textlink="">
      <xdr:nvSpPr>
        <xdr:cNvPr id="2067" name="Line 2">
          <a:extLst>
            <a:ext uri="{FF2B5EF4-FFF2-40B4-BE49-F238E27FC236}">
              <a16:creationId xmlns:a16="http://schemas.microsoft.com/office/drawing/2014/main" id="{00000000-0008-0000-0300-000013080000}"/>
            </a:ext>
          </a:extLst>
        </xdr:cNvPr>
        <xdr:cNvSpPr>
          <a:spLocks noChangeShapeType="1"/>
        </xdr:cNvSpPr>
      </xdr:nvSpPr>
      <xdr:spPr bwMode="auto">
        <a:xfrm flipV="1">
          <a:off x="1136650" y="12795250"/>
          <a:ext cx="6134100" cy="0"/>
        </a:xfrm>
        <a:prstGeom prst="line">
          <a:avLst/>
        </a:prstGeom>
        <a:noFill/>
        <a:ln w="9525" cap="flat">
          <a:solidFill>
            <a:srgbClr xmlns:mc="http://schemas.openxmlformats.org/markup-compatibility/2006" xmlns:a14="http://schemas.microsoft.com/office/drawing/2010/main" val="FF6600" mc:Ignorable="a14" a14:legacySpreadsheetColorIndex="53"/>
          </a:solidFill>
          <a:prstDash val="solid"/>
          <a:round/>
          <a:headEnd/>
          <a:tailEnd type="non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361950</xdr:colOff>
      <xdr:row>68</xdr:row>
      <xdr:rowOff>95250</xdr:rowOff>
    </xdr:from>
    <xdr:to>
      <xdr:col>3</xdr:col>
      <xdr:colOff>361950</xdr:colOff>
      <xdr:row>70</xdr:row>
      <xdr:rowOff>69850</xdr:rowOff>
    </xdr:to>
    <xdr:sp macro="" textlink="">
      <xdr:nvSpPr>
        <xdr:cNvPr id="2068" name="Line 3">
          <a:extLst>
            <a:ext uri="{FF2B5EF4-FFF2-40B4-BE49-F238E27FC236}">
              <a16:creationId xmlns:a16="http://schemas.microsoft.com/office/drawing/2014/main" id="{00000000-0008-0000-0300-000014080000}"/>
            </a:ext>
          </a:extLst>
        </xdr:cNvPr>
        <xdr:cNvSpPr>
          <a:spLocks noChangeShapeType="1"/>
        </xdr:cNvSpPr>
      </xdr:nvSpPr>
      <xdr:spPr bwMode="auto">
        <a:xfrm>
          <a:off x="1206500" y="12623800"/>
          <a:ext cx="0" cy="234950"/>
        </a:xfrm>
        <a:prstGeom prst="line">
          <a:avLst/>
        </a:prstGeom>
        <a:noFill/>
        <a:ln w="9525" cap="flat">
          <a:solidFill>
            <a:srgbClr xmlns:mc="http://schemas.openxmlformats.org/markup-compatibility/2006" xmlns:a14="http://schemas.microsoft.com/office/drawing/2010/main" val="FF6600" mc:Ignorable="a14" a14:legacySpreadsheetColorIndex="53"/>
          </a:solidFill>
          <a:prstDash val="solid"/>
          <a:round/>
          <a:headEnd/>
          <a:tailEnd type="non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12700</xdr:colOff>
      <xdr:row>8</xdr:row>
      <xdr:rowOff>152400</xdr:rowOff>
    </xdr:from>
    <xdr:to>
      <xdr:col>12</xdr:col>
      <xdr:colOff>387350</xdr:colOff>
      <xdr:row>10</xdr:row>
      <xdr:rowOff>12700</xdr:rowOff>
    </xdr:to>
    <xdr:sp macro="" textlink="">
      <xdr:nvSpPr>
        <xdr:cNvPr id="3089" name="AutoShape 1">
          <a:extLst>
            <a:ext uri="{FF2B5EF4-FFF2-40B4-BE49-F238E27FC236}">
              <a16:creationId xmlns:a16="http://schemas.microsoft.com/office/drawing/2014/main" id="{00000000-0008-0000-0400-0000110C0000}"/>
            </a:ext>
          </a:extLst>
        </xdr:cNvPr>
        <xdr:cNvSpPr>
          <a:spLocks/>
        </xdr:cNvSpPr>
      </xdr:nvSpPr>
      <xdr:spPr bwMode="auto">
        <a:xfrm>
          <a:off x="1612900" y="1600200"/>
          <a:ext cx="3797300" cy="279400"/>
        </a:xfrm>
        <a:custGeom>
          <a:avLst/>
          <a:gdLst>
            <a:gd name="T0" fmla="*/ 1735 w 16384"/>
            <a:gd name="T1" fmla="*/ 0 h 16384"/>
            <a:gd name="T2" fmla="*/ 504 w 16384"/>
            <a:gd name="T3" fmla="*/ 802 h 16384"/>
            <a:gd name="T4" fmla="*/ 0 w 16384"/>
            <a:gd name="T5" fmla="*/ 2760 h 16384"/>
            <a:gd name="T6" fmla="*/ 0 w 16384"/>
            <a:gd name="T7" fmla="*/ 13713 h 16384"/>
            <a:gd name="T8" fmla="*/ 504 w 16384"/>
            <a:gd name="T9" fmla="*/ 15582 h 16384"/>
            <a:gd name="T10" fmla="*/ 1735 w 16384"/>
            <a:gd name="T11" fmla="*/ 16384 h 16384"/>
            <a:gd name="T12" fmla="*/ 14704 w 16384"/>
            <a:gd name="T13" fmla="*/ 16384 h 16384"/>
            <a:gd name="T14" fmla="*/ 15880 w 16384"/>
            <a:gd name="T15" fmla="*/ 15582 h 16384"/>
            <a:gd name="T16" fmla="*/ 16384 w 16384"/>
            <a:gd name="T17" fmla="*/ 13713 h 16384"/>
            <a:gd name="T18" fmla="*/ 16384 w 16384"/>
            <a:gd name="T19" fmla="*/ 2760 h 16384"/>
            <a:gd name="T20" fmla="*/ 15880 w 16384"/>
            <a:gd name="T21" fmla="*/ 802 h 16384"/>
            <a:gd name="T22" fmla="*/ 14704 w 16384"/>
            <a:gd name="T23" fmla="*/ 0 h 16384"/>
            <a:gd name="T24" fmla="*/ 1735 w 16384"/>
            <a:gd name="T25" fmla="*/ 0 h 1638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</a:cxnLst>
          <a:rect l="0" t="0" r="r" b="b"/>
          <a:pathLst>
            <a:path w="16384" h="16384">
              <a:moveTo>
                <a:pt x="1735" y="0"/>
              </a:moveTo>
              <a:lnTo>
                <a:pt x="504" y="802"/>
              </a:lnTo>
              <a:lnTo>
                <a:pt x="0" y="2760"/>
              </a:lnTo>
              <a:lnTo>
                <a:pt x="0" y="13713"/>
              </a:lnTo>
              <a:lnTo>
                <a:pt x="504" y="15582"/>
              </a:lnTo>
              <a:lnTo>
                <a:pt x="1735" y="16384"/>
              </a:lnTo>
              <a:lnTo>
                <a:pt x="14704" y="16384"/>
              </a:lnTo>
              <a:lnTo>
                <a:pt x="15880" y="15582"/>
              </a:lnTo>
              <a:lnTo>
                <a:pt x="16384" y="13713"/>
              </a:lnTo>
              <a:lnTo>
                <a:pt x="16384" y="2760"/>
              </a:lnTo>
              <a:lnTo>
                <a:pt x="15880" y="802"/>
              </a:lnTo>
              <a:lnTo>
                <a:pt x="14704" y="0"/>
              </a:lnTo>
              <a:lnTo>
                <a:pt x="1735" y="0"/>
              </a:lnTo>
              <a:close/>
            </a:path>
          </a:pathLst>
        </a:custGeom>
        <a:noFill/>
        <a:ln w="952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</xdr:col>
      <xdr:colOff>273050</xdr:colOff>
      <xdr:row>60</xdr:row>
      <xdr:rowOff>6350</xdr:rowOff>
    </xdr:from>
    <xdr:to>
      <xdr:col>15</xdr:col>
      <xdr:colOff>419100</xdr:colOff>
      <xdr:row>60</xdr:row>
      <xdr:rowOff>6350</xdr:rowOff>
    </xdr:to>
    <xdr:sp macro="" textlink="">
      <xdr:nvSpPr>
        <xdr:cNvPr id="3090" name="Line 2">
          <a:extLst>
            <a:ext uri="{FF2B5EF4-FFF2-40B4-BE49-F238E27FC236}">
              <a16:creationId xmlns:a16="http://schemas.microsoft.com/office/drawing/2014/main" id="{00000000-0008-0000-0400-0000120C0000}"/>
            </a:ext>
          </a:extLst>
        </xdr:cNvPr>
        <xdr:cNvSpPr>
          <a:spLocks noChangeShapeType="1"/>
        </xdr:cNvSpPr>
      </xdr:nvSpPr>
      <xdr:spPr bwMode="auto">
        <a:xfrm flipV="1">
          <a:off x="1073150" y="10198100"/>
          <a:ext cx="5740400" cy="0"/>
        </a:xfrm>
        <a:prstGeom prst="line">
          <a:avLst/>
        </a:prstGeom>
        <a:noFill/>
        <a:ln w="9525" cap="flat">
          <a:solidFill>
            <a:srgbClr xmlns:mc="http://schemas.openxmlformats.org/markup-compatibility/2006" xmlns:a14="http://schemas.microsoft.com/office/drawing/2010/main" val="FF6600" mc:Ignorable="a14" a14:legacySpreadsheetColorIndex="53"/>
          </a:solidFill>
          <a:prstDash val="solid"/>
          <a:round/>
          <a:headEnd/>
          <a:tailEnd type="non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361950</xdr:colOff>
      <xdr:row>58</xdr:row>
      <xdr:rowOff>95250</xdr:rowOff>
    </xdr:from>
    <xdr:to>
      <xdr:col>2</xdr:col>
      <xdr:colOff>361950</xdr:colOff>
      <xdr:row>60</xdr:row>
      <xdr:rowOff>69850</xdr:rowOff>
    </xdr:to>
    <xdr:sp macro="" textlink="">
      <xdr:nvSpPr>
        <xdr:cNvPr id="3091" name="Line 3">
          <a:extLst>
            <a:ext uri="{FF2B5EF4-FFF2-40B4-BE49-F238E27FC236}">
              <a16:creationId xmlns:a16="http://schemas.microsoft.com/office/drawing/2014/main" id="{00000000-0008-0000-0400-0000130C0000}"/>
            </a:ext>
          </a:extLst>
        </xdr:cNvPr>
        <xdr:cNvSpPr>
          <a:spLocks noChangeShapeType="1"/>
        </xdr:cNvSpPr>
      </xdr:nvSpPr>
      <xdr:spPr bwMode="auto">
        <a:xfrm>
          <a:off x="1162050" y="10026650"/>
          <a:ext cx="0" cy="234950"/>
        </a:xfrm>
        <a:prstGeom prst="line">
          <a:avLst/>
        </a:prstGeom>
        <a:noFill/>
        <a:ln w="9525" cap="flat">
          <a:solidFill>
            <a:srgbClr xmlns:mc="http://schemas.openxmlformats.org/markup-compatibility/2006" xmlns:a14="http://schemas.microsoft.com/office/drawing/2010/main" val="FF6600" mc:Ignorable="a14" a14:legacySpreadsheetColorIndex="53"/>
          </a:solidFill>
          <a:prstDash val="solid"/>
          <a:round/>
          <a:headEnd/>
          <a:tailEnd type="non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228600</xdr:colOff>
      <xdr:row>4</xdr:row>
      <xdr:rowOff>0</xdr:rowOff>
    </xdr:to>
    <xdr:pic>
      <xdr:nvPicPr>
        <xdr:cNvPr id="3092" name="Picture 5">
          <a:extLst>
            <a:ext uri="{FF2B5EF4-FFF2-40B4-BE49-F238E27FC236}">
              <a16:creationId xmlns:a16="http://schemas.microsoft.com/office/drawing/2014/main" id="{00000000-0008-0000-0400-000014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28750" cy="762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222120</xdr:colOff>
      <xdr:row>12</xdr:row>
      <xdr:rowOff>145680</xdr:rowOff>
    </xdr:from>
    <xdr:to>
      <xdr:col>3</xdr:col>
      <xdr:colOff>222480</xdr:colOff>
      <xdr:row>12</xdr:row>
      <xdr:rowOff>146040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3" name="Encre 2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14:cNvPr>
            <xdr14:cNvContentPartPr/>
          </xdr14:nvContentPartPr>
          <xdr14:nvPr macro=""/>
          <xdr14:xfrm>
            <a:off x="10890120" y="2355480"/>
            <a:ext cx="360" cy="360"/>
          </xdr14:xfrm>
        </xdr:contentPart>
      </mc:Choice>
      <mc:Fallback xmlns="">
        <xdr:pic>
          <xdr:nvPicPr>
            <xdr:cNvPr id="3" name="Encre 2">
              <a:extLst>
                <a:ext uri="{FF2B5EF4-FFF2-40B4-BE49-F238E27FC236}">
                  <a16:creationId xmlns:a16="http://schemas.microsoft.com/office/drawing/2014/main" id="{17209E46-6C1E-4BD3-8260-AC3CE4ED8B97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0881480" y="234684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177480</xdr:colOff>
      <xdr:row>2</xdr:row>
      <xdr:rowOff>24820</xdr:rowOff>
    </xdr:from>
    <xdr:to>
      <xdr:col>6</xdr:col>
      <xdr:colOff>177840</xdr:colOff>
      <xdr:row>2</xdr:row>
      <xdr:rowOff>25180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6" name="Encre 5">
              <a:extLst>
                <a:ext uri="{FF2B5EF4-FFF2-40B4-BE49-F238E27FC236}">
                  <a16:creationId xmlns:a16="http://schemas.microsoft.com/office/drawing/2014/main" id="{00000000-0008-0000-0700-000006000000}"/>
                </a:ext>
              </a:extLst>
            </xdr14:cNvPr>
            <xdr14:cNvContentPartPr/>
          </xdr14:nvContentPartPr>
          <xdr14:nvPr macro=""/>
          <xdr14:xfrm>
            <a:off x="13131480" y="393120"/>
            <a:ext cx="360" cy="360"/>
          </xdr14:xfrm>
        </xdr:contentPart>
      </mc:Choice>
      <mc:Fallback xmlns="">
        <xdr:pic>
          <xdr:nvPicPr>
            <xdr:cNvPr id="6" name="Encre 5">
              <a:extLst>
                <a:ext uri="{FF2B5EF4-FFF2-40B4-BE49-F238E27FC236}">
                  <a16:creationId xmlns:a16="http://schemas.microsoft.com/office/drawing/2014/main" id="{DEB75A32-8DEC-4CB6-B210-650898034B84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3122840" y="38448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628440</xdr:colOff>
      <xdr:row>1</xdr:row>
      <xdr:rowOff>25010</xdr:rowOff>
    </xdr:from>
    <xdr:to>
      <xdr:col>5</xdr:col>
      <xdr:colOff>628800</xdr:colOff>
      <xdr:row>1</xdr:row>
      <xdr:rowOff>25370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7" name="Encre 6">
              <a:extLst>
                <a:ext uri="{FF2B5EF4-FFF2-40B4-BE49-F238E27FC236}">
                  <a16:creationId xmlns:a16="http://schemas.microsoft.com/office/drawing/2014/main" id="{00000000-0008-0000-0700-000007000000}"/>
                </a:ext>
              </a:extLst>
            </xdr14:cNvPr>
            <xdr14:cNvContentPartPr/>
          </xdr14:nvContentPartPr>
          <xdr14:nvPr macro=""/>
          <xdr14:xfrm>
            <a:off x="12820440" y="209160"/>
            <a:ext cx="360" cy="360"/>
          </xdr14:xfrm>
        </xdr:contentPart>
      </mc:Choice>
      <mc:Fallback xmlns="">
        <xdr:pic>
          <xdr:nvPicPr>
            <xdr:cNvPr id="7" name="Encre 6">
              <a:extLst>
                <a:ext uri="{FF2B5EF4-FFF2-40B4-BE49-F238E27FC236}">
                  <a16:creationId xmlns:a16="http://schemas.microsoft.com/office/drawing/2014/main" id="{C71BEF78-1F34-4C20-AC4A-C55D476ADACE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2811800" y="20052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285750</xdr:colOff>
      <xdr:row>11</xdr:row>
      <xdr:rowOff>50800</xdr:rowOff>
    </xdr:from>
    <xdr:to>
      <xdr:col>15</xdr:col>
      <xdr:colOff>139700</xdr:colOff>
      <xdr:row>31</xdr:row>
      <xdr:rowOff>88900</xdr:rowOff>
    </xdr:to>
    <xdr:pic>
      <xdr:nvPicPr>
        <xdr:cNvPr id="4097" name="Image 2">
          <a:extLst>
            <a:ext uri="{FF2B5EF4-FFF2-40B4-BE49-F238E27FC236}">
              <a16:creationId xmlns:a16="http://schemas.microsoft.com/office/drawing/2014/main" id="{00000000-0008-0000-0800-000001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62750" y="2076450"/>
          <a:ext cx="4425950" cy="3721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icham_garroum/Desktop/VBAfiles/VBA_FILES/SurveyotMate/DS%20SMD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onnées"/>
      <sheetName val="Draft Survey Report"/>
      <sheetName val="Details (P2)"/>
      <sheetName val="Deductibles (P3)"/>
    </sheetNames>
    <sheetDataSet>
      <sheetData sheetId="0">
        <row r="6">
          <cell r="B6" t="str">
            <v xml:space="preserve">Vessel </v>
          </cell>
        </row>
        <row r="8">
          <cell r="B8" t="str">
            <v>Cargo</v>
          </cell>
        </row>
        <row r="10">
          <cell r="M10" t="str">
            <v>Loading Commenced on</v>
          </cell>
        </row>
        <row r="12">
          <cell r="B12" t="str">
            <v>Port of Loading</v>
          </cell>
          <cell r="M12" t="str">
            <v>Loading completed on</v>
          </cell>
        </row>
        <row r="14">
          <cell r="B14" t="str">
            <v>Port of Discharge</v>
          </cell>
          <cell r="M14" t="str">
            <v>Final Survey commenced on</v>
          </cell>
        </row>
        <row r="16">
          <cell r="M16" t="str">
            <v>Final Survey completed on</v>
          </cell>
        </row>
        <row r="128">
          <cell r="B128" t="str">
            <v>FWT1 P</v>
          </cell>
        </row>
        <row r="129">
          <cell r="B129" t="str">
            <v>FXT 1S</v>
          </cell>
        </row>
        <row r="130">
          <cell r="B130"/>
        </row>
        <row r="131">
          <cell r="B131"/>
          <cell r="N131"/>
        </row>
        <row r="141">
          <cell r="D141"/>
        </row>
        <row r="190">
          <cell r="B190"/>
        </row>
        <row r="191">
          <cell r="B191"/>
        </row>
        <row r="192">
          <cell r="B192"/>
        </row>
      </sheetData>
      <sheetData sheetId="1"/>
      <sheetData sheetId="2"/>
      <sheetData sheetId="3"/>
    </sheetDataSet>
  </externalBook>
</externalLink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2-08-04T18:16:50.610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1 1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2-08-04T18:18:11.718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1 1</inkml:trace>
  <inkml:trace contextRef="#ctx0" brushRef="#br0" timeOffset="553.68">1 1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2-08-04T18:18:18.556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1 1</inkml:trace>
</inkml: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au1" displayName="Tableau1" ref="B66:E71" totalsRowShown="0">
  <tableColumns count="4">
    <tableColumn id="1" xr3:uid="{00000000-0010-0000-0000-000001000000}" name="Colonne1"/>
    <tableColumn id="2" xr3:uid="{00000000-0010-0000-0000-000002000000}" name="For Draft="/>
    <tableColumn id="3" xr3:uid="{00000000-0010-0000-0000-000003000000}" name="Aft Draft="/>
    <tableColumn id="4" xr3:uid="{00000000-0010-0000-0000-000004000000}" name="Trim =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au2" displayName="Tableau2" ref="M46:U48" totalsRowShown="0" tableBorderDxfId="8">
  <tableColumns count="9">
    <tableColumn id="1" xr3:uid="{00000000-0010-0000-0100-000001000000}" name="Colonne1"/>
    <tableColumn id="2" xr3:uid="{00000000-0010-0000-0100-000002000000}" name="TF11" dataDxfId="7"/>
    <tableColumn id="3" xr3:uid="{00000000-0010-0000-0100-000003000000}" name="TA11" dataDxfId="6"/>
    <tableColumn id="4" xr3:uid="{00000000-0010-0000-0100-000004000000}" name="TF12" dataDxfId="5"/>
    <tableColumn id="5" xr3:uid="{00000000-0010-0000-0100-000005000000}" name="TA12" dataDxfId="4"/>
    <tableColumn id="6" xr3:uid="{00000000-0010-0000-0100-000006000000}" name="TF13" dataDxfId="3"/>
    <tableColumn id="7" xr3:uid="{00000000-0010-0000-0100-000007000000}" name="TA13" dataDxfId="2"/>
    <tableColumn id="8" xr3:uid="{00000000-0010-0000-0100-000008000000}" name="TF14" dataDxfId="1"/>
    <tableColumn id="9" xr3:uid="{00000000-0010-0000-0100-000009000000}" name="TA14(Mean Draft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AX134"/>
  <sheetViews>
    <sheetView showGridLines="0" tabSelected="1" topLeftCell="AD1" workbookViewId="0">
      <selection activeCell="AP5" sqref="AP5"/>
    </sheetView>
  </sheetViews>
  <sheetFormatPr baseColWidth="10" defaultColWidth="4.6328125" defaultRowHeight="14.5"/>
  <cols>
    <col min="1" max="2" width="4.6328125" style="2" hidden="1" customWidth="1"/>
    <col min="3" max="3" width="4.54296875" style="2" hidden="1" customWidth="1"/>
    <col min="4" max="28" width="4.6328125" style="2" hidden="1" customWidth="1"/>
    <col min="29" max="29" width="9.08984375" style="2" hidden="1" customWidth="1"/>
    <col min="30" max="31" width="9.08984375" style="2" customWidth="1"/>
    <col min="32" max="32" width="23.54296875" style="2" customWidth="1"/>
    <col min="33" max="50" width="4.6328125" style="2" customWidth="1"/>
    <col min="51" max="16384" width="4.6328125" style="2"/>
  </cols>
  <sheetData>
    <row r="1" spans="1:50">
      <c r="AG1" s="451"/>
      <c r="AH1" s="451"/>
      <c r="AI1" s="451"/>
      <c r="AJ1" s="451"/>
      <c r="AK1" s="451"/>
      <c r="AL1" s="451"/>
      <c r="AM1" s="451"/>
      <c r="AN1" s="451"/>
      <c r="AO1" s="451"/>
      <c r="AP1" s="451"/>
      <c r="AQ1" s="451"/>
      <c r="AR1" s="451"/>
      <c r="AS1" s="451"/>
      <c r="AT1" s="451"/>
      <c r="AU1" s="451"/>
      <c r="AV1" s="451"/>
      <c r="AW1" s="451"/>
      <c r="AX1" s="451"/>
    </row>
    <row r="2" spans="1:50" ht="15" thickBot="1">
      <c r="AG2" s="451"/>
      <c r="AH2" s="451"/>
      <c r="AI2" s="451"/>
      <c r="AJ2" s="451"/>
      <c r="AK2" s="451"/>
      <c r="AL2" s="451"/>
      <c r="AM2" s="451"/>
      <c r="AN2" s="451"/>
      <c r="AO2" s="451"/>
      <c r="AP2" s="451"/>
      <c r="AQ2" s="451"/>
      <c r="AR2" s="451"/>
      <c r="AS2" s="451"/>
      <c r="AT2" s="451"/>
      <c r="AU2" s="451"/>
      <c r="AV2" s="451"/>
      <c r="AW2" s="451"/>
      <c r="AX2" s="451"/>
    </row>
    <row r="3" spans="1:50" ht="21.5" thickBot="1">
      <c r="C3" s="445" t="s">
        <v>0</v>
      </c>
      <c r="D3" s="445"/>
      <c r="E3" s="445"/>
      <c r="F3" s="445"/>
      <c r="G3" s="445"/>
      <c r="H3" s="445"/>
      <c r="I3" s="445"/>
      <c r="J3" s="445"/>
      <c r="K3" s="445"/>
      <c r="L3" s="445"/>
      <c r="M3" s="445"/>
      <c r="N3" s="445"/>
      <c r="O3" s="445"/>
      <c r="P3" s="445"/>
      <c r="Q3" s="445"/>
      <c r="R3" s="445"/>
      <c r="S3" s="445"/>
      <c r="T3" s="445"/>
      <c r="U3" s="445"/>
      <c r="V3" s="445"/>
      <c r="W3" s="445"/>
      <c r="X3" s="445"/>
      <c r="Y3" s="445"/>
      <c r="Z3" s="445"/>
      <c r="AA3" s="445"/>
      <c r="AB3" s="445"/>
      <c r="AG3" s="451"/>
      <c r="AH3" s="451"/>
      <c r="AI3" s="451"/>
      <c r="AJ3" s="451"/>
      <c r="AK3" s="451"/>
      <c r="AL3" s="451"/>
      <c r="AM3" s="451"/>
      <c r="AN3" s="451"/>
      <c r="AO3" s="451"/>
      <c r="AP3" s="452" t="s">
        <v>1</v>
      </c>
      <c r="AQ3" s="453"/>
      <c r="AR3" s="453"/>
      <c r="AS3" s="454"/>
      <c r="AT3" s="452" t="s">
        <v>2</v>
      </c>
      <c r="AU3" s="453"/>
      <c r="AV3" s="453"/>
      <c r="AW3" s="454"/>
      <c r="AX3" s="451"/>
    </row>
    <row r="4" spans="1:50" ht="5.5" customHeight="1" thickBot="1">
      <c r="C4" s="446"/>
      <c r="D4" s="446"/>
      <c r="E4" s="446"/>
      <c r="F4" s="446"/>
      <c r="G4" s="446"/>
      <c r="H4" s="446"/>
      <c r="I4" s="446"/>
      <c r="J4" s="446"/>
      <c r="K4" s="446"/>
      <c r="L4" s="446"/>
      <c r="M4" s="446"/>
      <c r="N4" s="446"/>
      <c r="O4" s="446"/>
      <c r="P4" s="446"/>
      <c r="Q4" s="446"/>
      <c r="R4" s="446"/>
      <c r="S4" s="446"/>
      <c r="T4" s="446"/>
      <c r="U4" s="446"/>
      <c r="V4" s="446"/>
      <c r="W4" s="446"/>
      <c r="X4" s="446"/>
      <c r="Y4" s="446"/>
      <c r="Z4" s="446"/>
      <c r="AA4" s="446"/>
      <c r="AB4" s="446"/>
      <c r="AG4" s="451"/>
      <c r="AH4" s="451"/>
      <c r="AI4" s="451"/>
      <c r="AJ4" s="451"/>
      <c r="AK4" s="451"/>
      <c r="AL4" s="451"/>
      <c r="AM4" s="451"/>
      <c r="AN4" s="451"/>
      <c r="AO4" s="451"/>
      <c r="AP4" s="451"/>
      <c r="AQ4" s="451"/>
      <c r="AR4" s="451"/>
      <c r="AS4" s="451"/>
      <c r="AT4" s="451"/>
      <c r="AU4" s="451"/>
      <c r="AV4" s="451"/>
      <c r="AW4" s="451"/>
      <c r="AX4" s="451"/>
    </row>
    <row r="5" spans="1:50" ht="15.5" thickTop="1" thickBot="1">
      <c r="A5" s="447"/>
      <c r="B5" s="447"/>
      <c r="C5" s="447" t="s">
        <v>3</v>
      </c>
      <c r="D5" s="447"/>
      <c r="E5" s="447"/>
      <c r="F5" s="447"/>
      <c r="G5" s="447"/>
      <c r="H5" s="455" t="s">
        <v>4</v>
      </c>
      <c r="I5" s="456"/>
      <c r="J5" s="456"/>
      <c r="K5" s="456"/>
      <c r="L5" s="456"/>
      <c r="M5" s="457"/>
      <c r="N5" s="447"/>
      <c r="O5" s="458" t="s">
        <v>5</v>
      </c>
      <c r="P5" s="458"/>
      <c r="Q5" s="458"/>
      <c r="R5" s="458"/>
      <c r="S5" s="458"/>
      <c r="T5" s="459"/>
      <c r="U5" s="460">
        <v>44785</v>
      </c>
      <c r="V5" s="461"/>
      <c r="W5" s="461"/>
      <c r="X5" s="462"/>
      <c r="Y5" s="447"/>
      <c r="Z5" s="447"/>
      <c r="AA5" s="463">
        <v>0.5</v>
      </c>
      <c r="AB5" s="457"/>
      <c r="AG5" s="464" t="s">
        <v>6</v>
      </c>
      <c r="AH5" s="465"/>
      <c r="AI5" s="465"/>
      <c r="AJ5" s="465"/>
      <c r="AK5" s="465" t="s">
        <v>7</v>
      </c>
      <c r="AL5" s="465"/>
      <c r="AM5" s="465" t="s">
        <v>8</v>
      </c>
      <c r="AN5" s="465"/>
      <c r="AO5" s="465"/>
      <c r="AP5" s="466">
        <v>5.54</v>
      </c>
      <c r="AQ5" s="467"/>
      <c r="AR5" s="467"/>
      <c r="AS5" s="468"/>
      <c r="AT5" s="466">
        <v>2.36</v>
      </c>
      <c r="AU5" s="467"/>
      <c r="AV5" s="467"/>
      <c r="AW5" s="469"/>
      <c r="AX5" s="451"/>
    </row>
    <row r="6" spans="1:50" ht="17" customHeight="1" thickBot="1">
      <c r="A6" s="447"/>
      <c r="B6" s="447"/>
      <c r="C6" s="447" t="s">
        <v>9</v>
      </c>
      <c r="D6" s="447"/>
      <c r="E6" s="447"/>
      <c r="F6" s="447"/>
      <c r="G6" s="447"/>
      <c r="H6" s="455" t="s">
        <v>10</v>
      </c>
      <c r="I6" s="456"/>
      <c r="J6" s="456"/>
      <c r="K6" s="456"/>
      <c r="L6" s="456"/>
      <c r="M6" s="457"/>
      <c r="N6" s="447"/>
      <c r="O6" s="458" t="s">
        <v>11</v>
      </c>
      <c r="P6" s="458"/>
      <c r="Q6" s="458"/>
      <c r="R6" s="458"/>
      <c r="S6" s="458"/>
      <c r="T6" s="459"/>
      <c r="U6" s="460">
        <v>44785</v>
      </c>
      <c r="V6" s="461"/>
      <c r="W6" s="461"/>
      <c r="X6" s="462"/>
      <c r="Y6" s="447"/>
      <c r="Z6" s="447"/>
      <c r="AA6" s="463">
        <v>0.5</v>
      </c>
      <c r="AB6" s="457"/>
      <c r="AG6" s="470"/>
      <c r="AH6" s="471"/>
      <c r="AI6" s="471"/>
      <c r="AJ6" s="471"/>
      <c r="AK6" s="471"/>
      <c r="AL6" s="471"/>
      <c r="AM6" s="471" t="s">
        <v>12</v>
      </c>
      <c r="AN6" s="471"/>
      <c r="AO6" s="471"/>
      <c r="AP6" s="472">
        <v>5.52</v>
      </c>
      <c r="AQ6" s="473"/>
      <c r="AR6" s="473"/>
      <c r="AS6" s="474"/>
      <c r="AT6" s="472">
        <v>2.36</v>
      </c>
      <c r="AU6" s="473"/>
      <c r="AV6" s="473"/>
      <c r="AW6" s="475"/>
      <c r="AX6" s="451"/>
    </row>
    <row r="7" spans="1:50" ht="15" thickBot="1">
      <c r="A7" s="447"/>
      <c r="B7" s="447"/>
      <c r="C7" s="448" t="s">
        <v>13</v>
      </c>
      <c r="D7" s="447"/>
      <c r="E7" s="447"/>
      <c r="F7" s="447"/>
      <c r="G7" s="447"/>
      <c r="H7" s="455" t="s">
        <v>14</v>
      </c>
      <c r="I7" s="456"/>
      <c r="J7" s="456"/>
      <c r="K7" s="456"/>
      <c r="L7" s="456"/>
      <c r="M7" s="457"/>
      <c r="N7" s="447"/>
      <c r="O7" s="458" t="s">
        <v>15</v>
      </c>
      <c r="P7" s="458"/>
      <c r="Q7" s="458"/>
      <c r="R7" s="458"/>
      <c r="S7" s="458"/>
      <c r="T7" s="459"/>
      <c r="U7" s="460">
        <v>44816</v>
      </c>
      <c r="V7" s="461"/>
      <c r="W7" s="461"/>
      <c r="X7" s="462"/>
      <c r="Y7" s="447"/>
      <c r="Z7" s="447"/>
      <c r="AA7" s="463">
        <v>0.5</v>
      </c>
      <c r="AB7" s="457"/>
      <c r="AG7" s="476"/>
      <c r="AH7" s="477"/>
      <c r="AI7" s="477"/>
      <c r="AJ7" s="477"/>
      <c r="AK7" s="477" t="s">
        <v>16</v>
      </c>
      <c r="AL7" s="477"/>
      <c r="AM7" s="477" t="s">
        <v>8</v>
      </c>
      <c r="AN7" s="477"/>
      <c r="AO7" s="477"/>
      <c r="AP7" s="472">
        <v>5.76</v>
      </c>
      <c r="AQ7" s="473"/>
      <c r="AR7" s="473"/>
      <c r="AS7" s="474"/>
      <c r="AT7" s="472">
        <v>3.23</v>
      </c>
      <c r="AU7" s="473"/>
      <c r="AV7" s="473"/>
      <c r="AW7" s="475"/>
      <c r="AX7" s="451"/>
    </row>
    <row r="8" spans="1:50" ht="17" customHeight="1" thickBot="1">
      <c r="A8" s="447"/>
      <c r="B8" s="447"/>
      <c r="C8" s="448" t="s">
        <v>17</v>
      </c>
      <c r="D8" s="447"/>
      <c r="E8" s="447"/>
      <c r="F8" s="447"/>
      <c r="G8" s="447"/>
      <c r="H8" s="455" t="s">
        <v>18</v>
      </c>
      <c r="I8" s="456"/>
      <c r="J8" s="456"/>
      <c r="K8" s="456"/>
      <c r="L8" s="456"/>
      <c r="M8" s="457"/>
      <c r="N8" s="447"/>
      <c r="O8" s="458" t="s">
        <v>19</v>
      </c>
      <c r="P8" s="458"/>
      <c r="Q8" s="458"/>
      <c r="R8" s="458"/>
      <c r="S8" s="458"/>
      <c r="T8" s="459"/>
      <c r="U8" s="460">
        <v>44816</v>
      </c>
      <c r="V8" s="461"/>
      <c r="W8" s="461"/>
      <c r="X8" s="462"/>
      <c r="Y8" s="447"/>
      <c r="Z8" s="447"/>
      <c r="AA8" s="463">
        <v>0.5</v>
      </c>
      <c r="AB8" s="457"/>
      <c r="AG8" s="470"/>
      <c r="AH8" s="471"/>
      <c r="AI8" s="471"/>
      <c r="AJ8" s="471"/>
      <c r="AK8" s="471"/>
      <c r="AL8" s="471"/>
      <c r="AM8" s="471" t="s">
        <v>12</v>
      </c>
      <c r="AN8" s="471"/>
      <c r="AO8" s="471"/>
      <c r="AP8" s="472">
        <v>5.78</v>
      </c>
      <c r="AQ8" s="473"/>
      <c r="AR8" s="473"/>
      <c r="AS8" s="474"/>
      <c r="AT8" s="472">
        <v>3.2</v>
      </c>
      <c r="AU8" s="473"/>
      <c r="AV8" s="473"/>
      <c r="AW8" s="475"/>
      <c r="AX8" s="451"/>
    </row>
    <row r="9" spans="1:50" ht="15" thickBot="1">
      <c r="A9" s="447"/>
      <c r="B9" s="447"/>
      <c r="C9" s="448" t="s">
        <v>20</v>
      </c>
      <c r="D9" s="448"/>
      <c r="E9" s="447"/>
      <c r="F9" s="447"/>
      <c r="G9" s="447"/>
      <c r="H9" s="455" t="s">
        <v>21</v>
      </c>
      <c r="I9" s="456"/>
      <c r="J9" s="456"/>
      <c r="K9" s="456"/>
      <c r="L9" s="456"/>
      <c r="M9" s="457"/>
      <c r="N9" s="447"/>
      <c r="O9" s="448" t="str">
        <f>IF(L189="","Un/loading Commenced on",IF((AO25-AU27)&lt;0,"Loading Commenced on","Discharging Commenced on"))</f>
        <v>Un/loading Commenced on</v>
      </c>
      <c r="P9" s="447"/>
      <c r="Q9" s="447"/>
      <c r="R9" s="447"/>
      <c r="S9" s="447"/>
      <c r="T9" s="447"/>
      <c r="U9" s="460">
        <v>44632</v>
      </c>
      <c r="V9" s="461"/>
      <c r="W9" s="461"/>
      <c r="X9" s="462"/>
      <c r="Y9" s="447"/>
      <c r="Z9" s="447"/>
      <c r="AA9" s="463">
        <v>0.5</v>
      </c>
      <c r="AB9" s="457"/>
      <c r="AG9" s="476"/>
      <c r="AH9" s="477"/>
      <c r="AI9" s="477"/>
      <c r="AJ9" s="477"/>
      <c r="AK9" s="477" t="s">
        <v>22</v>
      </c>
      <c r="AL9" s="477"/>
      <c r="AM9" s="477" t="s">
        <v>8</v>
      </c>
      <c r="AN9" s="477"/>
      <c r="AO9" s="477"/>
      <c r="AP9" s="472">
        <v>5.98</v>
      </c>
      <c r="AQ9" s="473"/>
      <c r="AR9" s="473"/>
      <c r="AS9" s="474"/>
      <c r="AT9" s="472">
        <v>4</v>
      </c>
      <c r="AU9" s="473"/>
      <c r="AV9" s="473"/>
      <c r="AW9" s="475"/>
      <c r="AX9" s="451"/>
    </row>
    <row r="10" spans="1:50" ht="13.5" customHeight="1" thickBot="1">
      <c r="A10" s="447"/>
      <c r="B10" s="447"/>
      <c r="C10" s="448" t="s">
        <v>23</v>
      </c>
      <c r="D10" s="447"/>
      <c r="E10" s="447"/>
      <c r="F10" s="447"/>
      <c r="G10" s="447"/>
      <c r="H10" s="455" t="s">
        <v>24</v>
      </c>
      <c r="I10" s="456"/>
      <c r="J10" s="456"/>
      <c r="K10" s="456"/>
      <c r="L10" s="456"/>
      <c r="M10" s="457"/>
      <c r="N10" s="447"/>
      <c r="O10" s="448" t="str">
        <f>IF(L189="","Un/loading Completed on",IF((AO25-AU27)&lt;0,"Loading completed on","Discharging completed on"))</f>
        <v>Un/loading Completed on</v>
      </c>
      <c r="P10" s="447"/>
      <c r="Q10" s="447"/>
      <c r="R10" s="447"/>
      <c r="S10" s="447"/>
      <c r="T10" s="447"/>
      <c r="U10" s="460">
        <v>44816</v>
      </c>
      <c r="V10" s="461"/>
      <c r="W10" s="461"/>
      <c r="X10" s="462"/>
      <c r="Y10" s="447"/>
      <c r="Z10" s="447"/>
      <c r="AA10" s="463">
        <v>0.5</v>
      </c>
      <c r="AB10" s="457"/>
      <c r="AG10" s="470"/>
      <c r="AH10" s="471"/>
      <c r="AI10" s="471"/>
      <c r="AJ10" s="471"/>
      <c r="AK10" s="471"/>
      <c r="AL10" s="471"/>
      <c r="AM10" s="471" t="s">
        <v>12</v>
      </c>
      <c r="AN10" s="471"/>
      <c r="AO10" s="471"/>
      <c r="AP10" s="472">
        <v>5.98</v>
      </c>
      <c r="AQ10" s="473"/>
      <c r="AR10" s="473"/>
      <c r="AS10" s="474"/>
      <c r="AT10" s="472">
        <v>4</v>
      </c>
      <c r="AU10" s="473"/>
      <c r="AV10" s="473"/>
      <c r="AW10" s="475"/>
      <c r="AX10" s="451"/>
    </row>
    <row r="11" spans="1:50" ht="15" thickBot="1">
      <c r="A11" s="447"/>
      <c r="B11" s="447"/>
      <c r="C11" s="448" t="s">
        <v>25</v>
      </c>
      <c r="D11" s="448"/>
      <c r="E11" s="447"/>
      <c r="F11" s="447"/>
      <c r="G11" s="447"/>
      <c r="H11" s="455">
        <v>4000</v>
      </c>
      <c r="I11" s="456"/>
      <c r="J11" s="456"/>
      <c r="K11" s="456"/>
      <c r="L11" s="456"/>
      <c r="M11" s="457"/>
      <c r="N11" s="447"/>
      <c r="O11" s="448" t="s">
        <v>26</v>
      </c>
      <c r="P11" s="447"/>
      <c r="Q11" s="447"/>
      <c r="R11" s="447"/>
      <c r="S11" s="447"/>
      <c r="T11" s="447"/>
      <c r="U11" s="460">
        <v>44816</v>
      </c>
      <c r="V11" s="461"/>
      <c r="W11" s="461"/>
      <c r="X11" s="462"/>
      <c r="Y11" s="447"/>
      <c r="Z11" s="447"/>
      <c r="AA11" s="463">
        <v>0.5</v>
      </c>
      <c r="AB11" s="457"/>
      <c r="AG11" s="476" t="s">
        <v>27</v>
      </c>
      <c r="AH11" s="477"/>
      <c r="AI11" s="477"/>
      <c r="AJ11" s="477"/>
      <c r="AK11" s="477" t="s">
        <v>28</v>
      </c>
      <c r="AL11" s="477"/>
      <c r="AM11" s="477"/>
      <c r="AN11" s="477"/>
      <c r="AO11" s="477"/>
      <c r="AP11" s="472">
        <v>-1.6</v>
      </c>
      <c r="AQ11" s="473"/>
      <c r="AR11" s="473"/>
      <c r="AS11" s="474"/>
      <c r="AT11" s="472">
        <v>-1.6</v>
      </c>
      <c r="AU11" s="473"/>
      <c r="AV11" s="473"/>
      <c r="AW11" s="475"/>
      <c r="AX11" s="451"/>
    </row>
    <row r="12" spans="1:50" ht="2.5" customHeight="1" thickBot="1">
      <c r="A12" s="447"/>
      <c r="B12" s="447"/>
      <c r="C12" s="447"/>
      <c r="D12" s="447"/>
      <c r="E12" s="447"/>
      <c r="F12" s="447"/>
      <c r="G12" s="447"/>
      <c r="H12" s="447"/>
      <c r="I12" s="447"/>
      <c r="J12" s="447"/>
      <c r="K12" s="447"/>
      <c r="L12" s="447"/>
      <c r="M12" s="447"/>
      <c r="N12" s="447"/>
      <c r="O12" s="447"/>
      <c r="P12" s="447"/>
      <c r="Q12" s="447"/>
      <c r="R12" s="447"/>
      <c r="S12" s="447"/>
      <c r="T12" s="447"/>
      <c r="U12" s="478"/>
      <c r="V12" s="478"/>
      <c r="W12" s="478"/>
      <c r="X12" s="478"/>
      <c r="Y12" s="447"/>
      <c r="Z12" s="447"/>
      <c r="AA12" s="447"/>
      <c r="AB12" s="447"/>
      <c r="AG12" s="470"/>
      <c r="AH12" s="471"/>
      <c r="AI12" s="471"/>
      <c r="AJ12" s="471"/>
      <c r="AK12" s="471"/>
      <c r="AL12" s="471"/>
      <c r="AM12" s="471"/>
      <c r="AN12" s="471"/>
      <c r="AO12" s="471"/>
      <c r="AP12" s="479"/>
      <c r="AQ12" s="480"/>
      <c r="AR12" s="480"/>
      <c r="AS12" s="481"/>
      <c r="AT12" s="479"/>
      <c r="AU12" s="480"/>
      <c r="AV12" s="480"/>
      <c r="AW12" s="482"/>
      <c r="AX12" s="451"/>
    </row>
    <row r="13" spans="1:50" ht="15" thickBot="1">
      <c r="A13" s="447"/>
      <c r="B13" s="447"/>
      <c r="C13" s="449" t="s">
        <v>29</v>
      </c>
      <c r="D13" s="448"/>
      <c r="E13" s="447"/>
      <c r="F13" s="447"/>
      <c r="G13" s="447"/>
      <c r="H13" s="460">
        <v>44763</v>
      </c>
      <c r="I13" s="461"/>
      <c r="J13" s="461"/>
      <c r="K13" s="461"/>
      <c r="L13" s="461"/>
      <c r="M13" s="462"/>
      <c r="N13" s="447"/>
      <c r="O13" s="448" t="s">
        <v>30</v>
      </c>
      <c r="P13" s="447"/>
      <c r="Q13" s="447"/>
      <c r="R13" s="447"/>
      <c r="S13" s="447"/>
      <c r="T13" s="447"/>
      <c r="U13" s="460">
        <v>44816</v>
      </c>
      <c r="V13" s="461"/>
      <c r="W13" s="461"/>
      <c r="X13" s="462"/>
      <c r="Y13" s="447"/>
      <c r="Z13" s="447"/>
      <c r="AA13" s="463">
        <v>0.5</v>
      </c>
      <c r="AB13" s="457"/>
      <c r="AG13" s="476" t="s">
        <v>31</v>
      </c>
      <c r="AH13" s="477"/>
      <c r="AI13" s="477"/>
      <c r="AJ13" s="477"/>
      <c r="AK13" s="477" t="s">
        <v>32</v>
      </c>
      <c r="AL13" s="477"/>
      <c r="AM13" s="477"/>
      <c r="AN13" s="477"/>
      <c r="AO13" s="477"/>
      <c r="AP13" s="472">
        <v>0</v>
      </c>
      <c r="AQ13" s="473"/>
      <c r="AR13" s="473"/>
      <c r="AS13" s="474"/>
      <c r="AT13" s="472">
        <v>-1.65</v>
      </c>
      <c r="AU13" s="473"/>
      <c r="AV13" s="473"/>
      <c r="AW13" s="475"/>
      <c r="AX13" s="451"/>
    </row>
    <row r="14" spans="1:50" ht="2" customHeight="1" thickBot="1">
      <c r="A14" s="447"/>
      <c r="B14" s="447"/>
      <c r="C14" s="447"/>
      <c r="D14" s="447"/>
      <c r="E14" s="447"/>
      <c r="F14" s="447"/>
      <c r="G14" s="447"/>
      <c r="H14" s="447"/>
      <c r="I14" s="447"/>
      <c r="J14" s="447"/>
      <c r="K14" s="447"/>
      <c r="L14" s="447"/>
      <c r="M14" s="447"/>
      <c r="N14" s="447"/>
      <c r="O14" s="448"/>
      <c r="P14" s="447"/>
      <c r="Q14" s="447"/>
      <c r="R14" s="447"/>
      <c r="S14" s="447"/>
      <c r="T14" s="447"/>
      <c r="U14" s="447"/>
      <c r="V14" s="447"/>
      <c r="W14" s="447"/>
      <c r="X14" s="447"/>
      <c r="Y14" s="447"/>
      <c r="Z14" s="447"/>
      <c r="AA14" s="447"/>
      <c r="AB14" s="447"/>
      <c r="AG14" s="470"/>
      <c r="AH14" s="471"/>
      <c r="AI14" s="471"/>
      <c r="AJ14" s="471"/>
      <c r="AK14" s="471"/>
      <c r="AL14" s="471"/>
      <c r="AM14" s="471"/>
      <c r="AN14" s="471"/>
      <c r="AO14" s="471"/>
      <c r="AP14" s="479"/>
      <c r="AQ14" s="480"/>
      <c r="AR14" s="480"/>
      <c r="AS14" s="481"/>
      <c r="AT14" s="479"/>
      <c r="AU14" s="480"/>
      <c r="AV14" s="480"/>
      <c r="AW14" s="482"/>
      <c r="AX14" s="451"/>
    </row>
    <row r="15" spans="1:50" ht="15" thickBot="1">
      <c r="A15" s="447"/>
      <c r="B15" s="447"/>
      <c r="C15" s="450" t="s">
        <v>33</v>
      </c>
      <c r="D15" s="447"/>
      <c r="E15" s="447"/>
      <c r="F15" s="447"/>
      <c r="G15" s="447"/>
      <c r="H15" s="483">
        <v>3212</v>
      </c>
      <c r="I15" s="484"/>
      <c r="J15" s="484"/>
      <c r="K15" s="484"/>
      <c r="L15" s="484"/>
      <c r="M15" s="485"/>
      <c r="N15" s="447"/>
      <c r="O15" s="448" t="s">
        <v>34</v>
      </c>
      <c r="P15" s="447"/>
      <c r="Q15" s="447"/>
      <c r="R15" s="447"/>
      <c r="S15" s="447"/>
      <c r="T15" s="447"/>
      <c r="U15" s="486">
        <v>103.9</v>
      </c>
      <c r="V15" s="487"/>
      <c r="W15" s="487"/>
      <c r="X15" s="488"/>
      <c r="Y15" s="447"/>
      <c r="Z15" s="447"/>
      <c r="AA15" s="447"/>
      <c r="AB15" s="447"/>
      <c r="AG15" s="476" t="s">
        <v>35</v>
      </c>
      <c r="AH15" s="477"/>
      <c r="AI15" s="477"/>
      <c r="AJ15" s="477"/>
      <c r="AK15" s="477" t="s">
        <v>36</v>
      </c>
      <c r="AL15" s="477"/>
      <c r="AM15" s="477"/>
      <c r="AN15" s="477"/>
      <c r="AO15" s="477"/>
      <c r="AP15" s="472">
        <v>-1.8</v>
      </c>
      <c r="AQ15" s="473"/>
      <c r="AR15" s="473"/>
      <c r="AS15" s="474"/>
      <c r="AT15" s="472">
        <v>0</v>
      </c>
      <c r="AU15" s="473"/>
      <c r="AV15" s="473"/>
      <c r="AW15" s="475"/>
      <c r="AX15" s="451"/>
    </row>
    <row r="16" spans="1:50" ht="3" customHeight="1" thickBot="1">
      <c r="A16" s="447"/>
      <c r="B16" s="447"/>
      <c r="C16" s="447"/>
      <c r="D16" s="447"/>
      <c r="E16" s="447"/>
      <c r="F16" s="447"/>
      <c r="G16" s="447"/>
      <c r="H16" s="447"/>
      <c r="I16" s="447"/>
      <c r="J16" s="447"/>
      <c r="K16" s="447"/>
      <c r="L16" s="447"/>
      <c r="M16" s="447"/>
      <c r="N16" s="447"/>
      <c r="O16" s="448"/>
      <c r="P16" s="447"/>
      <c r="Q16" s="447"/>
      <c r="R16" s="447"/>
      <c r="S16" s="447"/>
      <c r="T16" s="447"/>
      <c r="U16" s="489"/>
      <c r="V16" s="489"/>
      <c r="W16" s="489"/>
      <c r="X16" s="489"/>
      <c r="Y16" s="447"/>
      <c r="Z16" s="447"/>
      <c r="AA16" s="447"/>
      <c r="AB16" s="447"/>
      <c r="AG16" s="470"/>
      <c r="AH16" s="471"/>
      <c r="AI16" s="471"/>
      <c r="AJ16" s="471"/>
      <c r="AK16" s="471"/>
      <c r="AL16" s="471"/>
      <c r="AM16" s="471"/>
      <c r="AN16" s="471"/>
      <c r="AO16" s="471"/>
      <c r="AP16" s="479"/>
      <c r="AQ16" s="480"/>
      <c r="AR16" s="480"/>
      <c r="AS16" s="481"/>
      <c r="AT16" s="479"/>
      <c r="AU16" s="480"/>
      <c r="AV16" s="480"/>
      <c r="AW16" s="482"/>
      <c r="AX16" s="451"/>
    </row>
    <row r="17" spans="1:50" ht="15" thickBot="1">
      <c r="A17" s="447"/>
      <c r="B17" s="447"/>
      <c r="C17" s="450" t="s">
        <v>37</v>
      </c>
      <c r="D17" s="447"/>
      <c r="E17" s="447"/>
      <c r="F17" s="447"/>
      <c r="G17" s="447"/>
      <c r="H17" s="483">
        <v>1234</v>
      </c>
      <c r="I17" s="484"/>
      <c r="J17" s="484"/>
      <c r="K17" s="484"/>
      <c r="L17" s="484"/>
      <c r="M17" s="485"/>
      <c r="N17" s="447"/>
      <c r="O17" s="448" t="s">
        <v>38</v>
      </c>
      <c r="P17" s="447"/>
      <c r="Q17" s="447"/>
      <c r="R17" s="447"/>
      <c r="S17" s="447"/>
      <c r="T17" s="447"/>
      <c r="U17" s="486">
        <v>199.89</v>
      </c>
      <c r="V17" s="487"/>
      <c r="W17" s="487"/>
      <c r="X17" s="488"/>
      <c r="Y17" s="447"/>
      <c r="Z17" s="447"/>
      <c r="AA17" s="447"/>
      <c r="AB17" s="447"/>
      <c r="AG17" s="476" t="s">
        <v>39</v>
      </c>
      <c r="AH17" s="477"/>
      <c r="AI17" s="477"/>
      <c r="AJ17" s="477"/>
      <c r="AK17" s="477"/>
      <c r="AL17" s="477"/>
      <c r="AM17" s="477" t="s">
        <v>7</v>
      </c>
      <c r="AN17" s="477"/>
      <c r="AO17" s="477"/>
      <c r="AP17" s="472">
        <v>0</v>
      </c>
      <c r="AQ17" s="473"/>
      <c r="AR17" s="473"/>
      <c r="AS17" s="474"/>
      <c r="AT17" s="472">
        <v>0</v>
      </c>
      <c r="AU17" s="473"/>
      <c r="AV17" s="473"/>
      <c r="AW17" s="475"/>
      <c r="AX17" s="451"/>
    </row>
    <row r="18" spans="1:50" ht="2" customHeight="1" thickBot="1">
      <c r="A18" s="447"/>
      <c r="B18" s="447"/>
      <c r="C18" s="450"/>
      <c r="D18" s="447"/>
      <c r="E18" s="447"/>
      <c r="F18" s="447"/>
      <c r="G18" s="447"/>
      <c r="H18" s="447"/>
      <c r="I18" s="447"/>
      <c r="J18" s="447"/>
      <c r="K18" s="447"/>
      <c r="L18" s="447"/>
      <c r="M18" s="447"/>
      <c r="N18" s="447"/>
      <c r="O18" s="448"/>
      <c r="P18" s="447"/>
      <c r="Q18" s="447"/>
      <c r="R18" s="447"/>
      <c r="S18" s="447"/>
      <c r="T18" s="447"/>
      <c r="U18" s="489"/>
      <c r="V18" s="489"/>
      <c r="W18" s="489"/>
      <c r="X18" s="489"/>
      <c r="Y18" s="447"/>
      <c r="Z18" s="447"/>
      <c r="AA18" s="447"/>
      <c r="AB18" s="447"/>
      <c r="AG18" s="470"/>
      <c r="AH18" s="471"/>
      <c r="AI18" s="471"/>
      <c r="AJ18" s="471"/>
      <c r="AK18" s="471"/>
      <c r="AL18" s="471"/>
      <c r="AM18" s="471"/>
      <c r="AN18" s="471"/>
      <c r="AO18" s="471"/>
      <c r="AP18" s="479"/>
      <c r="AQ18" s="480"/>
      <c r="AR18" s="480"/>
      <c r="AS18" s="481"/>
      <c r="AT18" s="479"/>
      <c r="AU18" s="480"/>
      <c r="AV18" s="480"/>
      <c r="AW18" s="482"/>
      <c r="AX18" s="451"/>
    </row>
    <row r="19" spans="1:50" ht="15" thickBot="1">
      <c r="A19" s="447"/>
      <c r="B19" s="447"/>
      <c r="C19" s="450" t="s">
        <v>40</v>
      </c>
      <c r="D19" s="447"/>
      <c r="E19" s="447"/>
      <c r="F19" s="447"/>
      <c r="G19" s="447"/>
      <c r="H19" s="455">
        <v>10.45</v>
      </c>
      <c r="I19" s="456"/>
      <c r="J19" s="456"/>
      <c r="K19" s="456"/>
      <c r="L19" s="456"/>
      <c r="M19" s="457"/>
      <c r="N19" s="447"/>
      <c r="O19" s="448" t="s">
        <v>41</v>
      </c>
      <c r="P19" s="447"/>
      <c r="Q19" s="447"/>
      <c r="R19" s="447"/>
      <c r="S19" s="447"/>
      <c r="T19" s="447"/>
      <c r="U19" s="486">
        <v>32.89</v>
      </c>
      <c r="V19" s="487"/>
      <c r="W19" s="487"/>
      <c r="X19" s="488"/>
      <c r="Y19" s="447"/>
      <c r="Z19" s="447"/>
      <c r="AA19" s="447"/>
      <c r="AB19" s="447"/>
      <c r="AG19" s="476"/>
      <c r="AH19" s="477"/>
      <c r="AI19" s="477"/>
      <c r="AJ19" s="477"/>
      <c r="AK19" s="477"/>
      <c r="AL19" s="477"/>
      <c r="AM19" s="477" t="s">
        <v>16</v>
      </c>
      <c r="AN19" s="477"/>
      <c r="AO19" s="477"/>
      <c r="AP19" s="472">
        <v>0</v>
      </c>
      <c r="AQ19" s="473"/>
      <c r="AR19" s="473"/>
      <c r="AS19" s="474"/>
      <c r="AT19" s="472">
        <v>0</v>
      </c>
      <c r="AU19" s="473"/>
      <c r="AV19" s="473"/>
      <c r="AW19" s="475"/>
      <c r="AX19" s="451"/>
    </row>
    <row r="20" spans="1:50" ht="2.5" customHeight="1" thickBot="1">
      <c r="A20" s="447"/>
      <c r="B20" s="447"/>
      <c r="C20" s="450"/>
      <c r="D20" s="447"/>
      <c r="E20" s="447"/>
      <c r="F20" s="447"/>
      <c r="G20" s="447"/>
      <c r="H20" s="447"/>
      <c r="I20" s="447"/>
      <c r="J20" s="447"/>
      <c r="K20" s="447"/>
      <c r="L20" s="447"/>
      <c r="M20" s="447"/>
      <c r="N20" s="447"/>
      <c r="O20" s="448"/>
      <c r="P20" s="447"/>
      <c r="Q20" s="447"/>
      <c r="R20" s="447"/>
      <c r="S20" s="447"/>
      <c r="T20" s="447"/>
      <c r="U20" s="447"/>
      <c r="V20" s="447"/>
      <c r="W20" s="447"/>
      <c r="X20" s="447"/>
      <c r="Y20" s="447"/>
      <c r="Z20" s="447"/>
      <c r="AA20" s="447"/>
      <c r="AB20" s="447"/>
      <c r="AG20" s="470"/>
      <c r="AH20" s="471"/>
      <c r="AI20" s="471"/>
      <c r="AJ20" s="471"/>
      <c r="AK20" s="471"/>
      <c r="AL20" s="471"/>
      <c r="AM20" s="471" t="s">
        <v>42</v>
      </c>
      <c r="AN20" s="471"/>
      <c r="AO20" s="471"/>
      <c r="AP20" s="479"/>
      <c r="AQ20" s="480"/>
      <c r="AR20" s="480"/>
      <c r="AS20" s="481"/>
      <c r="AT20" s="479"/>
      <c r="AU20" s="480"/>
      <c r="AV20" s="480"/>
      <c r="AW20" s="482"/>
      <c r="AX20" s="451"/>
    </row>
    <row r="21" spans="1:50" ht="15" thickBot="1">
      <c r="A21" s="447"/>
      <c r="B21" s="447"/>
      <c r="C21" s="450" t="s">
        <v>43</v>
      </c>
      <c r="D21" s="447"/>
      <c r="E21" s="447"/>
      <c r="F21" s="447"/>
      <c r="G21" s="447"/>
      <c r="H21" s="455">
        <v>2.8759999999999999</v>
      </c>
      <c r="I21" s="456"/>
      <c r="J21" s="456"/>
      <c r="K21" s="456"/>
      <c r="L21" s="456"/>
      <c r="M21" s="457"/>
      <c r="N21" s="447"/>
      <c r="O21" s="448" t="s">
        <v>44</v>
      </c>
      <c r="P21" s="447"/>
      <c r="Q21" s="447"/>
      <c r="R21" s="447"/>
      <c r="S21" s="447"/>
      <c r="T21" s="447"/>
      <c r="U21" s="455">
        <v>5</v>
      </c>
      <c r="V21" s="456"/>
      <c r="W21" s="456"/>
      <c r="X21" s="457"/>
      <c r="Y21" s="447"/>
      <c r="Z21" s="447"/>
      <c r="AA21" s="447"/>
      <c r="AB21" s="447"/>
      <c r="AG21" s="476"/>
      <c r="AH21" s="477"/>
      <c r="AI21" s="477"/>
      <c r="AJ21" s="477"/>
      <c r="AK21" s="477"/>
      <c r="AL21" s="477"/>
      <c r="AM21" s="477" t="s">
        <v>22</v>
      </c>
      <c r="AN21" s="477"/>
      <c r="AO21" s="477"/>
      <c r="AP21" s="472">
        <v>0</v>
      </c>
      <c r="AQ21" s="473"/>
      <c r="AR21" s="473"/>
      <c r="AS21" s="474"/>
      <c r="AT21" s="472">
        <v>0</v>
      </c>
      <c r="AU21" s="473"/>
      <c r="AV21" s="473"/>
      <c r="AW21" s="475"/>
      <c r="AX21" s="451"/>
    </row>
    <row r="22" spans="1:50" ht="3" customHeight="1" thickBot="1">
      <c r="A22" s="447"/>
      <c r="B22" s="447"/>
      <c r="C22" s="450"/>
      <c r="D22" s="447"/>
      <c r="E22" s="447"/>
      <c r="F22" s="447"/>
      <c r="G22" s="447"/>
      <c r="H22" s="447"/>
      <c r="I22" s="447"/>
      <c r="J22" s="447"/>
      <c r="K22" s="447"/>
      <c r="L22" s="447"/>
      <c r="M22" s="447"/>
      <c r="N22" s="447"/>
      <c r="O22" s="448"/>
      <c r="P22" s="447"/>
      <c r="Q22" s="447"/>
      <c r="R22" s="447"/>
      <c r="S22" s="447"/>
      <c r="T22" s="447"/>
      <c r="U22" s="447"/>
      <c r="V22" s="447"/>
      <c r="W22" s="447"/>
      <c r="X22" s="447"/>
      <c r="Y22" s="447"/>
      <c r="Z22" s="447"/>
      <c r="AA22" s="447"/>
      <c r="AB22" s="447"/>
      <c r="AG22" s="470"/>
      <c r="AH22" s="471"/>
      <c r="AI22" s="471"/>
      <c r="AJ22" s="471"/>
      <c r="AK22" s="471"/>
      <c r="AL22" s="471"/>
      <c r="AM22" s="471"/>
      <c r="AN22" s="471"/>
      <c r="AO22" s="471"/>
      <c r="AP22" s="479"/>
      <c r="AQ22" s="480"/>
      <c r="AR22" s="480"/>
      <c r="AS22" s="481"/>
      <c r="AT22" s="479"/>
      <c r="AU22" s="480"/>
      <c r="AV22" s="480"/>
      <c r="AW22" s="482"/>
      <c r="AX22" s="451"/>
    </row>
    <row r="23" spans="1:50" ht="15" thickBot="1">
      <c r="A23" s="447"/>
      <c r="B23" s="447"/>
      <c r="C23" s="450" t="s">
        <v>45</v>
      </c>
      <c r="D23" s="447"/>
      <c r="E23" s="447"/>
      <c r="F23" s="447"/>
      <c r="G23" s="447"/>
      <c r="H23" s="455">
        <v>5423.98</v>
      </c>
      <c r="I23" s="456"/>
      <c r="J23" s="456"/>
      <c r="K23" s="456"/>
      <c r="L23" s="456"/>
      <c r="M23" s="457"/>
      <c r="N23" s="447"/>
      <c r="O23" s="450" t="s">
        <v>46</v>
      </c>
      <c r="P23" s="447"/>
      <c r="Q23" s="447"/>
      <c r="R23" s="447"/>
      <c r="S23" s="447"/>
      <c r="T23" s="447"/>
      <c r="U23" s="455">
        <v>22</v>
      </c>
      <c r="V23" s="456"/>
      <c r="W23" s="456"/>
      <c r="X23" s="457"/>
      <c r="Y23" s="447"/>
      <c r="Z23" s="447"/>
      <c r="AA23" s="447"/>
      <c r="AB23" s="447"/>
      <c r="AG23" s="476" t="s">
        <v>47</v>
      </c>
      <c r="AH23" s="477"/>
      <c r="AI23" s="477"/>
      <c r="AJ23" s="477"/>
      <c r="AK23" s="477"/>
      <c r="AL23" s="477"/>
      <c r="AM23" s="477" t="s">
        <v>42</v>
      </c>
      <c r="AN23" s="477"/>
      <c r="AO23" s="477"/>
      <c r="AP23" s="472">
        <v>103.9</v>
      </c>
      <c r="AQ23" s="473"/>
      <c r="AR23" s="473"/>
      <c r="AS23" s="474"/>
      <c r="AT23" s="472">
        <v>103.9</v>
      </c>
      <c r="AU23" s="473"/>
      <c r="AV23" s="473"/>
      <c r="AW23" s="475"/>
      <c r="AX23" s="451"/>
    </row>
    <row r="24" spans="1:50" ht="2.5" customHeight="1" thickBot="1">
      <c r="A24" s="447"/>
      <c r="B24" s="447"/>
      <c r="C24" s="450"/>
      <c r="D24" s="447"/>
      <c r="E24" s="447"/>
      <c r="F24" s="447"/>
      <c r="G24" s="447"/>
      <c r="H24" s="447"/>
      <c r="I24" s="447"/>
      <c r="J24" s="447"/>
      <c r="K24" s="447"/>
      <c r="L24" s="447"/>
      <c r="M24" s="447"/>
      <c r="N24" s="447"/>
      <c r="O24" s="450"/>
      <c r="P24" s="447"/>
      <c r="Q24" s="447"/>
      <c r="R24" s="447"/>
      <c r="S24" s="447"/>
      <c r="T24" s="447"/>
      <c r="U24" s="447"/>
      <c r="V24" s="447"/>
      <c r="W24" s="447"/>
      <c r="X24" s="447"/>
      <c r="Y24" s="447"/>
      <c r="Z24" s="447"/>
      <c r="AA24" s="447"/>
      <c r="AB24" s="447"/>
      <c r="AG24" s="470"/>
      <c r="AH24" s="471"/>
      <c r="AI24" s="471"/>
      <c r="AJ24" s="471"/>
      <c r="AK24" s="471"/>
      <c r="AL24" s="471"/>
      <c r="AM24" s="471"/>
      <c r="AN24" s="471"/>
      <c r="AO24" s="471"/>
      <c r="AP24" s="479"/>
      <c r="AQ24" s="480"/>
      <c r="AR24" s="480"/>
      <c r="AS24" s="481"/>
      <c r="AT24" s="479"/>
      <c r="AU24" s="480"/>
      <c r="AV24" s="480"/>
      <c r="AW24" s="482"/>
      <c r="AX24" s="451"/>
    </row>
    <row r="25" spans="1:50" ht="15" thickBot="1">
      <c r="A25" s="447"/>
      <c r="B25" s="447"/>
      <c r="C25" s="450" t="s">
        <v>48</v>
      </c>
      <c r="D25" s="447"/>
      <c r="E25" s="447"/>
      <c r="F25" s="447"/>
      <c r="G25" s="447"/>
      <c r="H25" s="483">
        <v>4786.09</v>
      </c>
      <c r="I25" s="484"/>
      <c r="J25" s="484"/>
      <c r="K25" s="484"/>
      <c r="L25" s="484"/>
      <c r="M25" s="485"/>
      <c r="N25" s="447"/>
      <c r="O25" s="450" t="s">
        <v>49</v>
      </c>
      <c r="P25" s="447"/>
      <c r="Q25" s="447"/>
      <c r="R25" s="447"/>
      <c r="S25" s="447"/>
      <c r="T25" s="447"/>
      <c r="U25" s="455">
        <v>2</v>
      </c>
      <c r="V25" s="456"/>
      <c r="W25" s="456"/>
      <c r="X25" s="457"/>
      <c r="Y25" s="447"/>
      <c r="Z25" s="447"/>
      <c r="AA25" s="447"/>
      <c r="AB25" s="447"/>
      <c r="AG25" s="476" t="s">
        <v>50</v>
      </c>
      <c r="AH25" s="477"/>
      <c r="AI25" s="477"/>
      <c r="AJ25" s="477"/>
      <c r="AK25" s="477"/>
      <c r="AL25" s="477"/>
      <c r="AM25" s="477" t="s">
        <v>51</v>
      </c>
      <c r="AN25" s="477"/>
      <c r="AO25" s="477"/>
      <c r="AP25" s="490">
        <f>AP23-(ABS(AP11)+AP15)</f>
        <v>104.10000000000001</v>
      </c>
      <c r="AQ25" s="491"/>
      <c r="AR25" s="491"/>
      <c r="AS25" s="492"/>
      <c r="AT25" s="490">
        <f>AT23-(ABS(AT11)+AT15)</f>
        <v>102.30000000000001</v>
      </c>
      <c r="AU25" s="491"/>
      <c r="AV25" s="491"/>
      <c r="AW25" s="493"/>
      <c r="AX25" s="451"/>
    </row>
    <row r="26" spans="1:50" ht="2.5" customHeight="1" thickBot="1">
      <c r="A26" s="447"/>
      <c r="B26" s="447"/>
      <c r="C26" s="450"/>
      <c r="D26" s="447"/>
      <c r="E26" s="447"/>
      <c r="F26" s="447"/>
      <c r="G26" s="447"/>
      <c r="H26" s="447"/>
      <c r="I26" s="447"/>
      <c r="J26" s="447"/>
      <c r="K26" s="447"/>
      <c r="L26" s="447"/>
      <c r="M26" s="447"/>
      <c r="N26" s="447"/>
      <c r="O26" s="447"/>
      <c r="P26" s="447"/>
      <c r="Q26" s="447"/>
      <c r="R26" s="447"/>
      <c r="S26" s="447"/>
      <c r="T26" s="447"/>
      <c r="U26" s="447"/>
      <c r="V26" s="447"/>
      <c r="W26" s="447"/>
      <c r="X26" s="447"/>
      <c r="Y26" s="447"/>
      <c r="Z26" s="447"/>
      <c r="AA26" s="447"/>
      <c r="AB26" s="447"/>
      <c r="AG26" s="470"/>
      <c r="AH26" s="471"/>
      <c r="AI26" s="471"/>
      <c r="AJ26" s="471"/>
      <c r="AK26" s="471"/>
      <c r="AL26" s="471"/>
      <c r="AM26" s="471"/>
      <c r="AN26" s="471"/>
      <c r="AO26" s="471"/>
      <c r="AP26" s="479"/>
      <c r="AQ26" s="480"/>
      <c r="AR26" s="480"/>
      <c r="AS26" s="481"/>
      <c r="AT26" s="479"/>
      <c r="AU26" s="480"/>
      <c r="AV26" s="480"/>
      <c r="AW26" s="482"/>
      <c r="AX26" s="451"/>
    </row>
    <row r="27" spans="1:50" ht="15" thickBot="1">
      <c r="A27" s="447"/>
      <c r="B27" s="447"/>
      <c r="C27" s="450" t="s">
        <v>52</v>
      </c>
      <c r="D27" s="447"/>
      <c r="E27" s="447"/>
      <c r="F27" s="447"/>
      <c r="G27" s="447"/>
      <c r="H27" s="483">
        <f>AP42</f>
        <v>90</v>
      </c>
      <c r="I27" s="484"/>
      <c r="J27" s="484"/>
      <c r="K27" s="484"/>
      <c r="L27" s="484"/>
      <c r="M27" s="485"/>
      <c r="N27" s="447"/>
      <c r="O27" s="447"/>
      <c r="P27" s="447"/>
      <c r="Q27" s="447"/>
      <c r="R27" s="447"/>
      <c r="S27" s="447"/>
      <c r="T27" s="447"/>
      <c r="U27" s="447"/>
      <c r="V27" s="447"/>
      <c r="W27" s="447"/>
      <c r="X27" s="447"/>
      <c r="Y27" s="447"/>
      <c r="Z27" s="447"/>
      <c r="AA27" s="447"/>
      <c r="AB27" s="447"/>
      <c r="AG27" s="476" t="s">
        <v>53</v>
      </c>
      <c r="AH27" s="477"/>
      <c r="AI27" s="477"/>
      <c r="AJ27" s="477"/>
      <c r="AK27" s="477" t="s">
        <v>54</v>
      </c>
      <c r="AL27" s="477"/>
      <c r="AM27" s="477"/>
      <c r="AN27" s="477"/>
      <c r="AO27" s="477"/>
      <c r="AP27" s="472">
        <v>80.7</v>
      </c>
      <c r="AQ27" s="473"/>
      <c r="AR27" s="473"/>
      <c r="AS27" s="474"/>
      <c r="AT27" s="472">
        <v>80.7</v>
      </c>
      <c r="AU27" s="473"/>
      <c r="AV27" s="473"/>
      <c r="AW27" s="475"/>
      <c r="AX27" s="451"/>
    </row>
    <row r="28" spans="1:50" ht="2.5" customHeight="1">
      <c r="A28" s="447"/>
      <c r="B28" s="447"/>
      <c r="C28" s="450"/>
      <c r="D28" s="447"/>
      <c r="E28" s="447"/>
      <c r="F28" s="447"/>
      <c r="G28" s="447"/>
      <c r="H28" s="447"/>
      <c r="I28" s="447"/>
      <c r="J28" s="447"/>
      <c r="K28" s="447"/>
      <c r="L28" s="447"/>
      <c r="M28" s="447"/>
      <c r="N28" s="447"/>
      <c r="O28" s="447"/>
      <c r="P28" s="447"/>
      <c r="Q28" s="447"/>
      <c r="R28" s="447"/>
      <c r="S28" s="447"/>
      <c r="T28" s="447"/>
      <c r="U28" s="447"/>
      <c r="V28" s="447"/>
      <c r="W28" s="447"/>
      <c r="X28" s="447"/>
      <c r="Y28" s="447"/>
      <c r="Z28" s="447"/>
      <c r="AA28" s="447"/>
      <c r="AB28" s="447"/>
      <c r="AG28" s="470"/>
      <c r="AH28" s="471"/>
      <c r="AI28" s="471"/>
      <c r="AJ28" s="471"/>
      <c r="AK28" s="471"/>
      <c r="AL28" s="471"/>
      <c r="AM28" s="471"/>
      <c r="AN28" s="471"/>
      <c r="AO28" s="471"/>
      <c r="AP28" s="494"/>
      <c r="AQ28" s="471"/>
      <c r="AR28" s="471"/>
      <c r="AS28" s="495"/>
      <c r="AT28" s="494"/>
      <c r="AU28" s="471"/>
      <c r="AV28" s="471"/>
      <c r="AW28" s="496"/>
      <c r="AX28" s="451"/>
    </row>
    <row r="29" spans="1:50">
      <c r="A29" s="447"/>
      <c r="B29" s="447"/>
      <c r="C29" s="447"/>
      <c r="D29" s="447"/>
      <c r="E29" s="447"/>
      <c r="F29" s="447"/>
      <c r="G29" s="447"/>
      <c r="H29" s="497"/>
      <c r="I29" s="497"/>
      <c r="J29" s="497"/>
      <c r="K29" s="497"/>
      <c r="L29" s="497"/>
      <c r="M29" s="497"/>
      <c r="N29" s="447"/>
      <c r="O29" s="447"/>
      <c r="P29" s="447"/>
      <c r="Q29" s="447"/>
      <c r="R29" s="447"/>
      <c r="S29" s="447"/>
      <c r="T29" s="447"/>
      <c r="U29" s="447"/>
      <c r="V29" s="447"/>
      <c r="W29" s="447"/>
      <c r="X29" s="447"/>
      <c r="Y29" s="447"/>
      <c r="Z29" s="447"/>
      <c r="AA29" s="446"/>
      <c r="AB29" s="446"/>
      <c r="AG29" s="476"/>
      <c r="AH29" s="477"/>
      <c r="AI29" s="477"/>
      <c r="AJ29" s="477"/>
      <c r="AK29" s="477" t="s">
        <v>55</v>
      </c>
      <c r="AL29" s="477"/>
      <c r="AM29" s="477"/>
      <c r="AN29" s="477"/>
      <c r="AO29" s="477"/>
      <c r="AP29" s="472">
        <v>54.4</v>
      </c>
      <c r="AQ29" s="473"/>
      <c r="AR29" s="473"/>
      <c r="AS29" s="474"/>
      <c r="AT29" s="472">
        <v>48.5</v>
      </c>
      <c r="AU29" s="473"/>
      <c r="AV29" s="473"/>
      <c r="AW29" s="475"/>
      <c r="AX29" s="451"/>
    </row>
    <row r="30" spans="1:50" ht="2.5" customHeight="1">
      <c r="G30" s="446"/>
      <c r="H30" s="446"/>
      <c r="I30" s="446"/>
      <c r="J30" s="446"/>
      <c r="K30" s="446"/>
      <c r="L30" s="446"/>
      <c r="M30" s="446"/>
      <c r="N30" s="446"/>
      <c r="R30" s="446"/>
      <c r="S30" s="446"/>
      <c r="T30" s="446"/>
      <c r="U30" s="446"/>
      <c r="V30" s="446"/>
      <c r="W30" s="446"/>
      <c r="X30" s="446"/>
      <c r="Y30" s="446"/>
      <c r="Z30" s="446"/>
      <c r="AA30" s="446"/>
      <c r="AB30" s="446"/>
      <c r="AG30" s="470"/>
      <c r="AH30" s="471"/>
      <c r="AI30" s="471"/>
      <c r="AJ30" s="471"/>
      <c r="AK30" s="471"/>
      <c r="AL30" s="471"/>
      <c r="AM30" s="471"/>
      <c r="AN30" s="471"/>
      <c r="AO30" s="471"/>
      <c r="AP30" s="494"/>
      <c r="AQ30" s="471"/>
      <c r="AR30" s="471"/>
      <c r="AS30" s="495"/>
      <c r="AT30" s="494"/>
      <c r="AU30" s="471"/>
      <c r="AV30" s="471"/>
      <c r="AW30" s="496"/>
      <c r="AX30" s="451"/>
    </row>
    <row r="31" spans="1:50">
      <c r="G31" s="446"/>
      <c r="H31" s="498"/>
      <c r="I31" s="498"/>
      <c r="J31" s="498"/>
      <c r="K31" s="498"/>
      <c r="L31" s="498"/>
      <c r="M31" s="498"/>
      <c r="N31" s="446"/>
      <c r="R31" s="446"/>
      <c r="S31" s="446"/>
      <c r="T31" s="446"/>
      <c r="U31" s="446"/>
      <c r="V31" s="446"/>
      <c r="W31" s="446"/>
      <c r="X31" s="446"/>
      <c r="Y31" s="446"/>
      <c r="Z31" s="446"/>
      <c r="AG31" s="476"/>
      <c r="AH31" s="477"/>
      <c r="AI31" s="477"/>
      <c r="AJ31" s="477"/>
      <c r="AK31" s="477" t="s">
        <v>56</v>
      </c>
      <c r="AL31" s="477"/>
      <c r="AM31" s="477"/>
      <c r="AN31" s="477"/>
      <c r="AO31" s="477"/>
      <c r="AP31" s="472">
        <v>9.7829999999999995</v>
      </c>
      <c r="AQ31" s="473"/>
      <c r="AR31" s="473"/>
      <c r="AS31" s="474"/>
      <c r="AT31" s="472">
        <v>9.7829999999999995</v>
      </c>
      <c r="AU31" s="473"/>
      <c r="AV31" s="473"/>
      <c r="AW31" s="475"/>
      <c r="AX31" s="451"/>
    </row>
    <row r="32" spans="1:50" ht="2" customHeight="1">
      <c r="G32" s="446"/>
      <c r="H32" s="446"/>
      <c r="I32" s="446"/>
      <c r="J32" s="446"/>
      <c r="K32" s="446"/>
      <c r="L32" s="446"/>
      <c r="M32" s="446"/>
      <c r="N32" s="446"/>
      <c r="R32" s="446"/>
      <c r="S32" s="446"/>
      <c r="T32" s="446"/>
      <c r="U32" s="446"/>
      <c r="V32" s="446"/>
      <c r="W32" s="446"/>
      <c r="X32" s="446"/>
      <c r="Y32" s="446"/>
      <c r="Z32" s="446"/>
      <c r="AA32" s="446"/>
      <c r="AB32" s="446"/>
      <c r="AG32" s="470"/>
      <c r="AH32" s="471"/>
      <c r="AI32" s="471"/>
      <c r="AJ32" s="471"/>
      <c r="AK32" s="471"/>
      <c r="AL32" s="471"/>
      <c r="AM32" s="471"/>
      <c r="AN32" s="471"/>
      <c r="AO32" s="471"/>
      <c r="AP32" s="494"/>
      <c r="AQ32" s="471"/>
      <c r="AR32" s="471"/>
      <c r="AS32" s="495"/>
      <c r="AT32" s="494"/>
      <c r="AU32" s="471"/>
      <c r="AV32" s="471"/>
      <c r="AW32" s="496"/>
      <c r="AX32" s="451"/>
    </row>
    <row r="33" spans="7:50">
      <c r="G33" s="446"/>
      <c r="H33" s="498"/>
      <c r="I33" s="498"/>
      <c r="J33" s="498"/>
      <c r="K33" s="498"/>
      <c r="L33" s="498"/>
      <c r="M33" s="498"/>
      <c r="N33" s="446"/>
      <c r="R33" s="446"/>
      <c r="S33" s="446"/>
      <c r="T33" s="446"/>
      <c r="U33" s="446"/>
      <c r="V33" s="446"/>
      <c r="W33" s="446"/>
      <c r="X33" s="446"/>
      <c r="Y33" s="446"/>
      <c r="Z33" s="446"/>
      <c r="AA33" s="446"/>
      <c r="AB33" s="446"/>
      <c r="AG33" s="476"/>
      <c r="AH33" s="477"/>
      <c r="AI33" s="477"/>
      <c r="AJ33" s="477"/>
      <c r="AK33" s="477" t="s">
        <v>57</v>
      </c>
      <c r="AL33" s="477"/>
      <c r="AM33" s="477"/>
      <c r="AN33" s="477"/>
      <c r="AO33" s="477"/>
      <c r="AP33" s="472">
        <v>525.66300000000001</v>
      </c>
      <c r="AQ33" s="473"/>
      <c r="AR33" s="473"/>
      <c r="AS33" s="474"/>
      <c r="AT33" s="472">
        <v>1312.8009999999999</v>
      </c>
      <c r="AU33" s="473"/>
      <c r="AV33" s="473"/>
      <c r="AW33" s="475"/>
      <c r="AX33" s="451"/>
    </row>
    <row r="34" spans="7:50" ht="2.5" customHeight="1">
      <c r="G34" s="446"/>
      <c r="H34" s="446"/>
      <c r="I34" s="446"/>
      <c r="J34" s="446"/>
      <c r="K34" s="446"/>
      <c r="L34" s="446"/>
      <c r="M34" s="446"/>
      <c r="N34" s="446"/>
      <c r="O34" s="446"/>
      <c r="P34" s="446"/>
      <c r="Q34" s="446"/>
      <c r="R34" s="446"/>
      <c r="S34" s="446"/>
      <c r="T34" s="446"/>
      <c r="U34" s="446"/>
      <c r="V34" s="446"/>
      <c r="W34" s="446"/>
      <c r="X34" s="446"/>
      <c r="Y34" s="446"/>
      <c r="Z34" s="446"/>
      <c r="AA34" s="446"/>
      <c r="AB34" s="446"/>
      <c r="AG34" s="470"/>
      <c r="AH34" s="471"/>
      <c r="AI34" s="471"/>
      <c r="AJ34" s="471"/>
      <c r="AK34" s="471"/>
      <c r="AL34" s="471"/>
      <c r="AM34" s="471"/>
      <c r="AN34" s="471"/>
      <c r="AO34" s="471"/>
      <c r="AP34" s="490"/>
      <c r="AQ34" s="491"/>
      <c r="AR34" s="491"/>
      <c r="AS34" s="492"/>
      <c r="AT34" s="490"/>
      <c r="AU34" s="491"/>
      <c r="AV34" s="491"/>
      <c r="AW34" s="493"/>
      <c r="AX34" s="451"/>
    </row>
    <row r="35" spans="7:50">
      <c r="G35" s="446"/>
      <c r="H35" s="498"/>
      <c r="I35" s="498"/>
      <c r="J35" s="498"/>
      <c r="K35" s="498"/>
      <c r="L35" s="498"/>
      <c r="M35" s="498"/>
      <c r="N35" s="446"/>
      <c r="O35" s="446"/>
      <c r="P35" s="446"/>
      <c r="Q35" s="446"/>
      <c r="R35" s="446"/>
      <c r="S35" s="446"/>
      <c r="T35" s="446"/>
      <c r="U35" s="446"/>
      <c r="V35" s="446"/>
      <c r="W35" s="446"/>
      <c r="X35" s="446"/>
      <c r="Y35" s="446"/>
      <c r="Z35" s="446"/>
      <c r="AA35" s="446"/>
      <c r="AB35" s="446"/>
      <c r="AG35" s="470"/>
      <c r="AH35" s="471"/>
      <c r="AI35" s="471"/>
      <c r="AJ35" s="471"/>
      <c r="AK35" s="471" t="s">
        <v>58</v>
      </c>
      <c r="AL35" s="471"/>
      <c r="AM35" s="471"/>
      <c r="AN35" s="471"/>
      <c r="AO35" s="471"/>
      <c r="AP35" s="472">
        <v>39.5</v>
      </c>
      <c r="AQ35" s="473"/>
      <c r="AR35" s="473"/>
      <c r="AS35" s="474"/>
      <c r="AT35" s="472">
        <v>39.5</v>
      </c>
      <c r="AU35" s="473"/>
      <c r="AV35" s="473"/>
      <c r="AW35" s="475"/>
      <c r="AX35" s="451"/>
    </row>
    <row r="36" spans="7:50" ht="2.5" customHeight="1">
      <c r="AG36" s="470"/>
      <c r="AH36" s="471"/>
      <c r="AI36" s="471"/>
      <c r="AJ36" s="471"/>
      <c r="AK36" s="471"/>
      <c r="AL36" s="471"/>
      <c r="AM36" s="471"/>
      <c r="AN36" s="471"/>
      <c r="AO36" s="471"/>
      <c r="AP36" s="494"/>
      <c r="AQ36" s="471"/>
      <c r="AR36" s="471"/>
      <c r="AS36" s="495"/>
      <c r="AT36" s="494"/>
      <c r="AU36" s="471"/>
      <c r="AV36" s="471"/>
      <c r="AW36" s="496"/>
      <c r="AX36" s="451"/>
    </row>
    <row r="37" spans="7:50">
      <c r="AG37" s="476"/>
      <c r="AH37" s="477"/>
      <c r="AI37" s="477"/>
      <c r="AJ37" s="477"/>
      <c r="AK37" s="477" t="s">
        <v>59</v>
      </c>
      <c r="AL37" s="477"/>
      <c r="AM37" s="477"/>
      <c r="AN37" s="477"/>
      <c r="AO37" s="477"/>
      <c r="AP37" s="472">
        <v>0.9</v>
      </c>
      <c r="AQ37" s="473"/>
      <c r="AR37" s="473"/>
      <c r="AS37" s="474"/>
      <c r="AT37" s="472">
        <v>0.9</v>
      </c>
      <c r="AU37" s="473"/>
      <c r="AV37" s="473"/>
      <c r="AW37" s="475"/>
      <c r="AX37" s="451"/>
    </row>
    <row r="38" spans="7:50" ht="3.5" customHeight="1">
      <c r="AG38" s="470"/>
      <c r="AH38" s="471"/>
      <c r="AI38" s="471"/>
      <c r="AJ38" s="471"/>
      <c r="AK38" s="471"/>
      <c r="AL38" s="471"/>
      <c r="AM38" s="471"/>
      <c r="AN38" s="471"/>
      <c r="AO38" s="471"/>
      <c r="AP38" s="490">
        <v>1.0249999999999999</v>
      </c>
      <c r="AQ38" s="491"/>
      <c r="AR38" s="491"/>
      <c r="AS38" s="492"/>
      <c r="AT38" s="494"/>
      <c r="AU38" s="471"/>
      <c r="AV38" s="471"/>
      <c r="AW38" s="496"/>
      <c r="AX38" s="451"/>
    </row>
    <row r="39" spans="7:50" ht="14" customHeight="1">
      <c r="AG39" s="476" t="s">
        <v>60</v>
      </c>
      <c r="AH39" s="471"/>
      <c r="AI39" s="471"/>
      <c r="AJ39" s="471"/>
      <c r="AK39" s="471"/>
      <c r="AL39" s="471"/>
      <c r="AM39" s="471"/>
      <c r="AN39" s="471"/>
      <c r="AO39" s="471"/>
      <c r="AP39" s="490">
        <v>1.0249999999999999</v>
      </c>
      <c r="AQ39" s="491"/>
      <c r="AR39" s="491"/>
      <c r="AS39" s="492"/>
      <c r="AT39" s="490">
        <v>1.0249999999999999</v>
      </c>
      <c r="AU39" s="491"/>
      <c r="AV39" s="491"/>
      <c r="AW39" s="493"/>
      <c r="AX39" s="451"/>
    </row>
    <row r="40" spans="7:50">
      <c r="AG40" s="476" t="s">
        <v>61</v>
      </c>
      <c r="AH40" s="477"/>
      <c r="AI40" s="477"/>
      <c r="AJ40" s="477"/>
      <c r="AK40" s="477"/>
      <c r="AL40" s="477"/>
      <c r="AM40" s="477"/>
      <c r="AN40" s="477"/>
      <c r="AO40" s="477"/>
      <c r="AP40" s="472">
        <v>1.0229999999999999</v>
      </c>
      <c r="AQ40" s="473"/>
      <c r="AR40" s="473"/>
      <c r="AS40" s="474"/>
      <c r="AT40" s="472">
        <v>1.0249999999999999</v>
      </c>
      <c r="AU40" s="473"/>
      <c r="AV40" s="473"/>
      <c r="AW40" s="475"/>
      <c r="AX40" s="451"/>
    </row>
    <row r="41" spans="7:50">
      <c r="AG41" s="476" t="s">
        <v>62</v>
      </c>
      <c r="AH41" s="477"/>
      <c r="AI41" s="477"/>
      <c r="AJ41" s="477"/>
      <c r="AK41" s="477"/>
      <c r="AL41" s="477"/>
      <c r="AM41" s="477"/>
      <c r="AN41" s="477"/>
      <c r="AO41" s="477"/>
      <c r="AP41" s="472">
        <v>2986.5</v>
      </c>
      <c r="AQ41" s="473"/>
      <c r="AR41" s="473"/>
      <c r="AS41" s="474"/>
      <c r="AT41" s="490">
        <f>AP41</f>
        <v>2986.5</v>
      </c>
      <c r="AU41" s="491"/>
      <c r="AV41" s="491"/>
      <c r="AW41" s="493"/>
      <c r="AX41" s="451"/>
    </row>
    <row r="42" spans="7:50">
      <c r="AG42" s="476" t="s">
        <v>63</v>
      </c>
      <c r="AH42" s="477"/>
      <c r="AI42" s="477"/>
      <c r="AJ42" s="477"/>
      <c r="AK42" s="477"/>
      <c r="AL42" s="477"/>
      <c r="AM42" s="477"/>
      <c r="AN42" s="477"/>
      <c r="AO42" s="477"/>
      <c r="AP42" s="472">
        <v>90</v>
      </c>
      <c r="AQ42" s="473"/>
      <c r="AR42" s="473"/>
      <c r="AS42" s="474"/>
      <c r="AT42" s="490"/>
      <c r="AU42" s="491"/>
      <c r="AV42" s="491"/>
      <c r="AW42" s="493"/>
      <c r="AX42" s="451"/>
    </row>
    <row r="43" spans="7:50" ht="15" thickBot="1">
      <c r="AG43" s="499" t="s">
        <v>64</v>
      </c>
      <c r="AH43" s="500"/>
      <c r="AI43" s="500"/>
      <c r="AJ43" s="500"/>
      <c r="AK43" s="500"/>
      <c r="AL43" s="500"/>
      <c r="AM43" s="500"/>
      <c r="AN43" s="500"/>
      <c r="AO43" s="500"/>
      <c r="AP43" s="501">
        <f>Details!O50</f>
        <v>6026.00331537477</v>
      </c>
      <c r="AQ43" s="502"/>
      <c r="AR43" s="502"/>
      <c r="AS43" s="503"/>
      <c r="AT43" s="504"/>
      <c r="AU43" s="500"/>
      <c r="AV43" s="500"/>
      <c r="AW43" s="505"/>
      <c r="AX43" s="451"/>
    </row>
    <row r="44" spans="7:50" ht="15" thickTop="1">
      <c r="AG44" s="471"/>
      <c r="AH44" s="471"/>
      <c r="AI44" s="471"/>
      <c r="AJ44" s="471"/>
      <c r="AK44" s="471"/>
      <c r="AL44" s="471"/>
      <c r="AM44" s="471"/>
      <c r="AN44" s="471"/>
      <c r="AO44" s="471"/>
      <c r="AP44" s="471"/>
      <c r="AQ44" s="471"/>
      <c r="AR44" s="471"/>
      <c r="AS44" s="471"/>
      <c r="AT44" s="471"/>
      <c r="AU44" s="471"/>
      <c r="AV44" s="471"/>
      <c r="AW44" s="471"/>
      <c r="AX44" s="451"/>
    </row>
    <row r="45" spans="7:50">
      <c r="AG45" s="471"/>
      <c r="AH45" s="471"/>
      <c r="AI45" s="471"/>
      <c r="AJ45" s="471"/>
      <c r="AK45" s="471"/>
      <c r="AL45" s="471"/>
      <c r="AM45" s="471"/>
      <c r="AN45" s="471"/>
      <c r="AO45" s="471"/>
      <c r="AP45" s="471"/>
      <c r="AQ45" s="471"/>
      <c r="AR45" s="471"/>
      <c r="AS45" s="471"/>
      <c r="AT45" s="471"/>
      <c r="AU45" s="471"/>
      <c r="AV45" s="471"/>
      <c r="AW45" s="471"/>
      <c r="AX45" s="451"/>
    </row>
    <row r="46" spans="7:50">
      <c r="AG46" s="471"/>
      <c r="AH46" s="471"/>
      <c r="AI46" s="471"/>
      <c r="AJ46" s="471"/>
      <c r="AK46" s="471"/>
      <c r="AL46" s="471"/>
      <c r="AM46" s="471"/>
      <c r="AN46" s="471"/>
      <c r="AO46" s="471"/>
      <c r="AP46" s="471"/>
      <c r="AQ46" s="471"/>
      <c r="AR46" s="471"/>
      <c r="AS46" s="471"/>
      <c r="AT46" s="471"/>
      <c r="AU46" s="471"/>
      <c r="AV46" s="471"/>
      <c r="AW46" s="471"/>
      <c r="AX46" s="451"/>
    </row>
    <row r="47" spans="7:50">
      <c r="AG47" s="506"/>
      <c r="AH47" s="506"/>
      <c r="AI47" s="506"/>
      <c r="AJ47" s="506"/>
      <c r="AK47" s="506"/>
      <c r="AL47" s="506"/>
      <c r="AM47" s="506"/>
      <c r="AN47" s="506"/>
      <c r="AO47" s="506"/>
      <c r="AP47" s="506"/>
      <c r="AQ47" s="506"/>
      <c r="AR47" s="506"/>
      <c r="AS47" s="506"/>
      <c r="AT47" s="506"/>
      <c r="AU47" s="506"/>
      <c r="AV47" s="506"/>
      <c r="AW47" s="506"/>
    </row>
    <row r="48" spans="7:50">
      <c r="AG48" s="506"/>
      <c r="AH48" s="506"/>
      <c r="AI48" s="506"/>
      <c r="AJ48" s="506"/>
      <c r="AK48" s="506"/>
      <c r="AL48" s="506"/>
      <c r="AM48" s="506"/>
      <c r="AN48" s="506"/>
      <c r="AO48" s="506"/>
      <c r="AP48" s="506"/>
      <c r="AQ48" s="506"/>
      <c r="AR48" s="506"/>
      <c r="AS48" s="506"/>
      <c r="AT48" s="506"/>
      <c r="AU48" s="506"/>
      <c r="AV48" s="506"/>
      <c r="AW48" s="506"/>
    </row>
    <row r="49" spans="33:49">
      <c r="AG49" s="506"/>
      <c r="AH49" s="506"/>
      <c r="AI49" s="506"/>
      <c r="AJ49" s="506"/>
      <c r="AK49" s="506"/>
      <c r="AL49" s="506"/>
      <c r="AM49" s="506"/>
      <c r="AN49" s="506"/>
      <c r="AO49" s="506"/>
      <c r="AP49" s="506"/>
      <c r="AQ49" s="506"/>
      <c r="AR49" s="506"/>
      <c r="AS49" s="506"/>
      <c r="AT49" s="506"/>
      <c r="AU49" s="506"/>
      <c r="AV49" s="506"/>
      <c r="AW49" s="506"/>
    </row>
    <row r="50" spans="33:49">
      <c r="AG50" s="506"/>
      <c r="AH50" s="506"/>
      <c r="AI50" s="506"/>
      <c r="AJ50" s="506"/>
      <c r="AK50" s="506"/>
      <c r="AL50" s="506"/>
      <c r="AM50" s="506"/>
      <c r="AN50" s="506"/>
      <c r="AO50" s="506"/>
      <c r="AP50" s="506"/>
      <c r="AQ50" s="506"/>
      <c r="AR50" s="506"/>
      <c r="AS50" s="506"/>
      <c r="AT50" s="506"/>
      <c r="AU50" s="506"/>
      <c r="AV50" s="506"/>
      <c r="AW50" s="506"/>
    </row>
    <row r="51" spans="33:49">
      <c r="AG51" s="506"/>
      <c r="AH51" s="506"/>
      <c r="AI51" s="506"/>
      <c r="AJ51" s="506"/>
      <c r="AK51" s="506"/>
      <c r="AL51" s="506"/>
      <c r="AM51" s="506"/>
      <c r="AN51" s="506"/>
      <c r="AO51" s="506"/>
      <c r="AP51" s="506"/>
      <c r="AQ51" s="506"/>
      <c r="AR51" s="506"/>
      <c r="AS51" s="506"/>
      <c r="AT51" s="506"/>
      <c r="AU51" s="506"/>
      <c r="AV51" s="506"/>
      <c r="AW51" s="506"/>
    </row>
    <row r="52" spans="33:49">
      <c r="AG52" s="506"/>
      <c r="AH52" s="506"/>
      <c r="AI52" s="506"/>
      <c r="AJ52" s="506"/>
      <c r="AK52" s="506"/>
      <c r="AL52" s="506"/>
      <c r="AM52" s="506"/>
      <c r="AN52" s="506"/>
      <c r="AO52" s="506"/>
      <c r="AP52" s="506"/>
      <c r="AQ52" s="506"/>
      <c r="AR52" s="506"/>
      <c r="AS52" s="506"/>
      <c r="AT52" s="506"/>
      <c r="AU52" s="506"/>
      <c r="AV52" s="506"/>
      <c r="AW52" s="506"/>
    </row>
    <row r="53" spans="33:49">
      <c r="AG53" s="506"/>
      <c r="AH53" s="506"/>
      <c r="AI53" s="506"/>
      <c r="AJ53" s="506"/>
      <c r="AK53" s="506"/>
      <c r="AL53" s="506"/>
      <c r="AM53" s="506"/>
      <c r="AN53" s="506"/>
      <c r="AO53" s="506"/>
      <c r="AP53" s="506"/>
      <c r="AQ53" s="506"/>
      <c r="AR53" s="506"/>
      <c r="AS53" s="506"/>
      <c r="AT53" s="506"/>
      <c r="AU53" s="506"/>
      <c r="AV53" s="506"/>
      <c r="AW53" s="506"/>
    </row>
    <row r="54" spans="33:49">
      <c r="AG54" s="506"/>
      <c r="AH54" s="506"/>
      <c r="AI54" s="506"/>
      <c r="AJ54" s="506"/>
      <c r="AK54" s="506"/>
      <c r="AL54" s="506"/>
      <c r="AM54" s="506"/>
      <c r="AN54" s="506"/>
      <c r="AO54" s="506"/>
      <c r="AP54" s="506"/>
      <c r="AQ54" s="506"/>
      <c r="AR54" s="506"/>
      <c r="AS54" s="506"/>
      <c r="AT54" s="506"/>
      <c r="AU54" s="506"/>
      <c r="AV54" s="506"/>
      <c r="AW54" s="506"/>
    </row>
    <row r="55" spans="33:49">
      <c r="AG55" s="506"/>
      <c r="AH55" s="506"/>
      <c r="AI55" s="506"/>
      <c r="AJ55" s="506"/>
      <c r="AK55" s="506"/>
      <c r="AL55" s="506"/>
      <c r="AM55" s="506"/>
      <c r="AN55" s="506"/>
      <c r="AO55" s="506"/>
      <c r="AP55" s="506"/>
      <c r="AQ55" s="506"/>
      <c r="AR55" s="506"/>
      <c r="AS55" s="506"/>
      <c r="AT55" s="506"/>
      <c r="AU55" s="506"/>
      <c r="AV55" s="506"/>
      <c r="AW55" s="506"/>
    </row>
    <row r="56" spans="33:49">
      <c r="AG56" s="506"/>
      <c r="AH56" s="506"/>
      <c r="AI56" s="506"/>
      <c r="AJ56" s="506"/>
      <c r="AK56" s="506"/>
      <c r="AL56" s="506"/>
      <c r="AM56" s="506"/>
      <c r="AN56" s="506"/>
      <c r="AO56" s="506"/>
      <c r="AP56" s="506"/>
      <c r="AQ56" s="506"/>
      <c r="AR56" s="506"/>
      <c r="AS56" s="506"/>
      <c r="AT56" s="506"/>
      <c r="AU56" s="506"/>
      <c r="AV56" s="506"/>
      <c r="AW56" s="506"/>
    </row>
    <row r="57" spans="33:49">
      <c r="AG57" s="506"/>
      <c r="AH57" s="506"/>
      <c r="AI57" s="506"/>
      <c r="AJ57" s="506"/>
      <c r="AK57" s="506"/>
      <c r="AL57" s="506"/>
      <c r="AM57" s="506"/>
      <c r="AN57" s="506"/>
      <c r="AO57" s="506"/>
      <c r="AP57" s="506"/>
      <c r="AQ57" s="506"/>
      <c r="AR57" s="506"/>
      <c r="AS57" s="506"/>
      <c r="AT57" s="506"/>
      <c r="AU57" s="506"/>
      <c r="AV57" s="506"/>
      <c r="AW57" s="506"/>
    </row>
    <row r="58" spans="33:49">
      <c r="AG58" s="506"/>
      <c r="AH58" s="506"/>
      <c r="AI58" s="506"/>
      <c r="AJ58" s="506"/>
      <c r="AK58" s="506"/>
      <c r="AL58" s="506"/>
      <c r="AM58" s="506"/>
      <c r="AN58" s="506"/>
      <c r="AO58" s="506"/>
      <c r="AP58" s="506"/>
      <c r="AQ58" s="506"/>
      <c r="AR58" s="506"/>
      <c r="AS58" s="506"/>
      <c r="AT58" s="506"/>
      <c r="AU58" s="506"/>
      <c r="AV58" s="506"/>
      <c r="AW58" s="506"/>
    </row>
    <row r="59" spans="33:49">
      <c r="AG59" s="506"/>
      <c r="AH59" s="506"/>
      <c r="AI59" s="506"/>
      <c r="AJ59" s="506"/>
      <c r="AK59" s="506"/>
      <c r="AL59" s="506"/>
      <c r="AM59" s="506"/>
      <c r="AN59" s="506"/>
      <c r="AO59" s="506"/>
      <c r="AP59" s="506"/>
      <c r="AQ59" s="506"/>
      <c r="AR59" s="506"/>
      <c r="AS59" s="506"/>
      <c r="AT59" s="506"/>
      <c r="AU59" s="506"/>
      <c r="AV59" s="506"/>
      <c r="AW59" s="506"/>
    </row>
    <row r="60" spans="33:49">
      <c r="AG60" s="506"/>
      <c r="AH60" s="506"/>
      <c r="AI60" s="506"/>
      <c r="AJ60" s="506"/>
      <c r="AK60" s="506"/>
      <c r="AL60" s="506"/>
      <c r="AM60" s="506"/>
      <c r="AN60" s="506"/>
      <c r="AO60" s="506"/>
      <c r="AP60" s="506"/>
      <c r="AQ60" s="506"/>
      <c r="AR60" s="506"/>
      <c r="AS60" s="506"/>
      <c r="AT60" s="506"/>
      <c r="AU60" s="506"/>
      <c r="AV60" s="506"/>
      <c r="AW60" s="506"/>
    </row>
    <row r="61" spans="33:49">
      <c r="AG61" s="506"/>
      <c r="AH61" s="506"/>
      <c r="AI61" s="506"/>
      <c r="AJ61" s="506"/>
      <c r="AK61" s="506"/>
      <c r="AL61" s="506"/>
      <c r="AM61" s="506"/>
      <c r="AN61" s="506"/>
      <c r="AO61" s="506"/>
      <c r="AP61" s="506"/>
      <c r="AQ61" s="506"/>
      <c r="AR61" s="506"/>
      <c r="AS61" s="506"/>
      <c r="AT61" s="506"/>
      <c r="AU61" s="506"/>
      <c r="AV61" s="506"/>
      <c r="AW61" s="506"/>
    </row>
    <row r="62" spans="33:49">
      <c r="AG62" s="506"/>
      <c r="AH62" s="506"/>
      <c r="AI62" s="506"/>
      <c r="AJ62" s="506"/>
      <c r="AK62" s="506"/>
      <c r="AL62" s="506"/>
      <c r="AM62" s="506"/>
      <c r="AN62" s="506"/>
      <c r="AO62" s="506"/>
      <c r="AP62" s="506"/>
      <c r="AQ62" s="506"/>
      <c r="AR62" s="506"/>
      <c r="AS62" s="506"/>
      <c r="AT62" s="506"/>
      <c r="AU62" s="506"/>
      <c r="AV62" s="506"/>
      <c r="AW62" s="506"/>
    </row>
    <row r="63" spans="33:49">
      <c r="AG63" s="506"/>
      <c r="AH63" s="506"/>
      <c r="AI63" s="506"/>
      <c r="AJ63" s="506"/>
      <c r="AK63" s="506"/>
      <c r="AL63" s="506"/>
      <c r="AM63" s="506"/>
      <c r="AN63" s="506"/>
      <c r="AO63" s="506"/>
      <c r="AP63" s="506"/>
      <c r="AQ63" s="506"/>
      <c r="AR63" s="506"/>
      <c r="AS63" s="506"/>
      <c r="AT63" s="506"/>
      <c r="AU63" s="506"/>
      <c r="AV63" s="506"/>
      <c r="AW63" s="506"/>
    </row>
    <row r="64" spans="33:49">
      <c r="AG64" s="506"/>
      <c r="AH64" s="506"/>
      <c r="AI64" s="506"/>
      <c r="AJ64" s="506"/>
      <c r="AK64" s="506"/>
      <c r="AL64" s="506"/>
      <c r="AM64" s="506"/>
      <c r="AN64" s="506"/>
      <c r="AO64" s="506"/>
      <c r="AP64" s="506"/>
      <c r="AQ64" s="506"/>
      <c r="AR64" s="506"/>
      <c r="AS64" s="506"/>
      <c r="AT64" s="506"/>
      <c r="AU64" s="506"/>
      <c r="AV64" s="506"/>
      <c r="AW64" s="506"/>
    </row>
    <row r="65" spans="33:49">
      <c r="AG65" s="506"/>
      <c r="AH65" s="506"/>
      <c r="AI65" s="506"/>
      <c r="AJ65" s="506"/>
      <c r="AK65" s="506"/>
      <c r="AL65" s="506"/>
      <c r="AM65" s="506"/>
      <c r="AN65" s="506"/>
      <c r="AO65" s="506"/>
      <c r="AP65" s="506"/>
      <c r="AQ65" s="506"/>
      <c r="AR65" s="506"/>
      <c r="AS65" s="506"/>
      <c r="AT65" s="506"/>
      <c r="AU65" s="506"/>
      <c r="AV65" s="506"/>
      <c r="AW65" s="506"/>
    </row>
    <row r="66" spans="33:49">
      <c r="AG66" s="506"/>
      <c r="AH66" s="506"/>
      <c r="AI66" s="506"/>
      <c r="AJ66" s="506"/>
      <c r="AK66" s="506"/>
      <c r="AL66" s="506"/>
      <c r="AM66" s="506"/>
      <c r="AN66" s="506"/>
      <c r="AO66" s="506"/>
      <c r="AP66" s="506"/>
      <c r="AQ66" s="506"/>
      <c r="AR66" s="506"/>
      <c r="AS66" s="506"/>
      <c r="AT66" s="506"/>
      <c r="AU66" s="506"/>
      <c r="AV66" s="506"/>
      <c r="AW66" s="506"/>
    </row>
    <row r="67" spans="33:49">
      <c r="AG67" s="506"/>
      <c r="AH67" s="506"/>
      <c r="AI67" s="506"/>
      <c r="AJ67" s="506"/>
      <c r="AK67" s="506"/>
      <c r="AL67" s="506"/>
      <c r="AM67" s="506"/>
      <c r="AN67" s="506"/>
      <c r="AO67" s="506"/>
      <c r="AP67" s="506"/>
      <c r="AQ67" s="506"/>
      <c r="AR67" s="506"/>
      <c r="AS67" s="506"/>
      <c r="AT67" s="506"/>
      <c r="AU67" s="506"/>
      <c r="AV67" s="506"/>
      <c r="AW67" s="506"/>
    </row>
    <row r="68" spans="33:49">
      <c r="AG68" s="506"/>
      <c r="AH68" s="506"/>
      <c r="AI68" s="506"/>
      <c r="AJ68" s="506"/>
      <c r="AK68" s="506"/>
      <c r="AL68" s="506"/>
      <c r="AM68" s="506"/>
      <c r="AN68" s="506"/>
      <c r="AO68" s="506"/>
      <c r="AP68" s="506"/>
      <c r="AQ68" s="506"/>
      <c r="AR68" s="506"/>
      <c r="AS68" s="506"/>
      <c r="AT68" s="506"/>
      <c r="AU68" s="506"/>
      <c r="AV68" s="506"/>
      <c r="AW68" s="506"/>
    </row>
    <row r="69" spans="33:49">
      <c r="AG69" s="506"/>
      <c r="AH69" s="506"/>
      <c r="AI69" s="506"/>
      <c r="AJ69" s="506"/>
      <c r="AK69" s="506"/>
      <c r="AL69" s="506"/>
      <c r="AM69" s="506"/>
      <c r="AN69" s="506"/>
      <c r="AO69" s="506"/>
      <c r="AP69" s="506"/>
      <c r="AQ69" s="506"/>
      <c r="AR69" s="506"/>
      <c r="AS69" s="506"/>
      <c r="AT69" s="506"/>
      <c r="AU69" s="506"/>
      <c r="AV69" s="506"/>
      <c r="AW69" s="506"/>
    </row>
    <row r="70" spans="33:49">
      <c r="AG70" s="506"/>
      <c r="AH70" s="506"/>
      <c r="AI70" s="506"/>
      <c r="AJ70" s="506"/>
      <c r="AK70" s="506"/>
      <c r="AL70" s="506"/>
      <c r="AM70" s="506"/>
      <c r="AN70" s="506"/>
      <c r="AO70" s="506"/>
      <c r="AP70" s="506"/>
      <c r="AQ70" s="506"/>
      <c r="AR70" s="506"/>
      <c r="AS70" s="506"/>
      <c r="AT70" s="506"/>
      <c r="AU70" s="506"/>
      <c r="AV70" s="506"/>
      <c r="AW70" s="506"/>
    </row>
    <row r="71" spans="33:49">
      <c r="AG71" s="506"/>
      <c r="AH71" s="506"/>
      <c r="AI71" s="506"/>
      <c r="AJ71" s="506"/>
      <c r="AK71" s="506"/>
      <c r="AL71" s="506"/>
      <c r="AM71" s="506"/>
      <c r="AN71" s="506"/>
      <c r="AO71" s="506"/>
      <c r="AP71" s="506"/>
      <c r="AQ71" s="506"/>
      <c r="AR71" s="506"/>
      <c r="AS71" s="506"/>
      <c r="AT71" s="506"/>
      <c r="AU71" s="506"/>
      <c r="AV71" s="506"/>
      <c r="AW71" s="506"/>
    </row>
    <row r="72" spans="33:49">
      <c r="AG72" s="506"/>
      <c r="AH72" s="506"/>
      <c r="AI72" s="506"/>
      <c r="AJ72" s="506"/>
      <c r="AK72" s="506"/>
      <c r="AL72" s="506"/>
      <c r="AM72" s="506"/>
      <c r="AN72" s="506"/>
      <c r="AO72" s="506"/>
      <c r="AP72" s="506"/>
      <c r="AQ72" s="506"/>
      <c r="AR72" s="506"/>
      <c r="AS72" s="506"/>
      <c r="AT72" s="506"/>
      <c r="AU72" s="506"/>
      <c r="AV72" s="506"/>
      <c r="AW72" s="506"/>
    </row>
    <row r="73" spans="33:49">
      <c r="AG73" s="506"/>
      <c r="AH73" s="506"/>
      <c r="AI73" s="506"/>
      <c r="AJ73" s="506"/>
      <c r="AK73" s="506"/>
      <c r="AL73" s="506"/>
      <c r="AM73" s="506"/>
      <c r="AN73" s="506"/>
      <c r="AO73" s="506"/>
      <c r="AP73" s="506"/>
      <c r="AQ73" s="506"/>
      <c r="AR73" s="506"/>
      <c r="AS73" s="506"/>
      <c r="AT73" s="506"/>
      <c r="AU73" s="506"/>
      <c r="AV73" s="506"/>
      <c r="AW73" s="506"/>
    </row>
    <row r="74" spans="33:49">
      <c r="AG74" s="506"/>
      <c r="AH74" s="506"/>
      <c r="AI74" s="506"/>
      <c r="AJ74" s="506"/>
      <c r="AK74" s="506"/>
      <c r="AL74" s="506"/>
      <c r="AM74" s="506"/>
      <c r="AN74" s="506"/>
      <c r="AO74" s="506"/>
      <c r="AP74" s="506"/>
      <c r="AQ74" s="506"/>
      <c r="AR74" s="506"/>
      <c r="AS74" s="506"/>
      <c r="AT74" s="506"/>
      <c r="AU74" s="506"/>
      <c r="AV74" s="506"/>
      <c r="AW74" s="506"/>
    </row>
    <row r="75" spans="33:49">
      <c r="AG75" s="506"/>
      <c r="AH75" s="506"/>
      <c r="AI75" s="506"/>
      <c r="AJ75" s="506"/>
      <c r="AK75" s="506"/>
      <c r="AL75" s="506"/>
      <c r="AM75" s="506"/>
      <c r="AN75" s="506"/>
      <c r="AO75" s="506"/>
      <c r="AP75" s="506"/>
      <c r="AQ75" s="506"/>
      <c r="AR75" s="506"/>
      <c r="AS75" s="506"/>
      <c r="AT75" s="506"/>
      <c r="AU75" s="506"/>
      <c r="AV75" s="506"/>
      <c r="AW75" s="506"/>
    </row>
    <row r="76" spans="33:49">
      <c r="AG76" s="506"/>
      <c r="AH76" s="506"/>
      <c r="AI76" s="506"/>
      <c r="AJ76" s="506"/>
      <c r="AK76" s="506"/>
      <c r="AL76" s="506"/>
      <c r="AM76" s="506"/>
      <c r="AN76" s="506"/>
      <c r="AO76" s="506"/>
      <c r="AP76" s="506"/>
      <c r="AQ76" s="506"/>
      <c r="AR76" s="506"/>
      <c r="AS76" s="506"/>
      <c r="AT76" s="506"/>
      <c r="AU76" s="506"/>
      <c r="AV76" s="506"/>
      <c r="AW76" s="506"/>
    </row>
    <row r="77" spans="33:49">
      <c r="AG77" s="506"/>
      <c r="AH77" s="506"/>
      <c r="AI77" s="506"/>
      <c r="AJ77" s="506"/>
      <c r="AK77" s="506"/>
      <c r="AL77" s="506"/>
      <c r="AM77" s="506"/>
      <c r="AN77" s="506"/>
      <c r="AO77" s="506"/>
      <c r="AP77" s="506"/>
      <c r="AQ77" s="506"/>
      <c r="AR77" s="506"/>
      <c r="AS77" s="506"/>
      <c r="AT77" s="506"/>
      <c r="AU77" s="506"/>
      <c r="AV77" s="506"/>
      <c r="AW77" s="506"/>
    </row>
    <row r="78" spans="33:49">
      <c r="AG78" s="506"/>
      <c r="AH78" s="506"/>
      <c r="AI78" s="506"/>
      <c r="AJ78" s="506"/>
      <c r="AK78" s="506"/>
      <c r="AL78" s="506"/>
      <c r="AM78" s="506"/>
      <c r="AN78" s="506"/>
      <c r="AO78" s="506"/>
      <c r="AP78" s="506"/>
      <c r="AQ78" s="506"/>
      <c r="AR78" s="506"/>
      <c r="AS78" s="506"/>
      <c r="AT78" s="506"/>
      <c r="AU78" s="506"/>
      <c r="AV78" s="506"/>
      <c r="AW78" s="506"/>
    </row>
    <row r="79" spans="33:49">
      <c r="AG79" s="506"/>
      <c r="AH79" s="506"/>
      <c r="AI79" s="506"/>
      <c r="AJ79" s="506"/>
      <c r="AK79" s="506"/>
      <c r="AL79" s="506"/>
      <c r="AM79" s="506"/>
      <c r="AN79" s="506"/>
      <c r="AO79" s="506"/>
      <c r="AP79" s="506"/>
      <c r="AQ79" s="506"/>
      <c r="AR79" s="506"/>
      <c r="AS79" s="506"/>
      <c r="AT79" s="506"/>
      <c r="AU79" s="506"/>
      <c r="AV79" s="506"/>
      <c r="AW79" s="506"/>
    </row>
    <row r="80" spans="33:49">
      <c r="AG80" s="506"/>
      <c r="AH80" s="506"/>
      <c r="AI80" s="506"/>
      <c r="AJ80" s="506"/>
      <c r="AK80" s="506"/>
      <c r="AL80" s="506"/>
      <c r="AM80" s="506"/>
      <c r="AN80" s="506"/>
      <c r="AO80" s="506"/>
      <c r="AP80" s="506"/>
      <c r="AQ80" s="506"/>
      <c r="AR80" s="506"/>
      <c r="AS80" s="506"/>
      <c r="AT80" s="506"/>
      <c r="AU80" s="506"/>
      <c r="AV80" s="506"/>
      <c r="AW80" s="506"/>
    </row>
    <row r="81" spans="33:49">
      <c r="AG81" s="506"/>
      <c r="AH81" s="506"/>
      <c r="AI81" s="506"/>
      <c r="AJ81" s="506"/>
      <c r="AK81" s="506"/>
      <c r="AL81" s="506"/>
      <c r="AM81" s="506"/>
      <c r="AN81" s="506"/>
      <c r="AO81" s="506"/>
      <c r="AP81" s="506"/>
      <c r="AQ81" s="506"/>
      <c r="AR81" s="506"/>
      <c r="AS81" s="506"/>
      <c r="AT81" s="506"/>
      <c r="AU81" s="506"/>
      <c r="AV81" s="506"/>
      <c r="AW81" s="506"/>
    </row>
    <row r="82" spans="33:49">
      <c r="AG82" s="506"/>
      <c r="AH82" s="506"/>
      <c r="AI82" s="506"/>
      <c r="AJ82" s="506"/>
      <c r="AK82" s="506"/>
      <c r="AL82" s="506"/>
      <c r="AM82" s="506"/>
      <c r="AN82" s="506"/>
      <c r="AO82" s="506"/>
      <c r="AP82" s="506"/>
      <c r="AQ82" s="506"/>
      <c r="AR82" s="506"/>
      <c r="AS82" s="506"/>
      <c r="AT82" s="506"/>
      <c r="AU82" s="506"/>
      <c r="AV82" s="506"/>
      <c r="AW82" s="506"/>
    </row>
    <row r="83" spans="33:49">
      <c r="AG83" s="506"/>
      <c r="AH83" s="506"/>
      <c r="AI83" s="506"/>
      <c r="AJ83" s="506"/>
      <c r="AK83" s="506"/>
      <c r="AL83" s="506"/>
      <c r="AM83" s="506"/>
      <c r="AN83" s="506"/>
      <c r="AO83" s="506"/>
      <c r="AP83" s="506"/>
      <c r="AQ83" s="506"/>
      <c r="AR83" s="506"/>
      <c r="AS83" s="506"/>
      <c r="AT83" s="506"/>
      <c r="AU83" s="506"/>
      <c r="AV83" s="506"/>
      <c r="AW83" s="506"/>
    </row>
    <row r="84" spans="33:49">
      <c r="AG84" s="506"/>
      <c r="AH84" s="506"/>
      <c r="AI84" s="506"/>
      <c r="AJ84" s="506"/>
      <c r="AK84" s="506"/>
      <c r="AL84" s="506"/>
      <c r="AM84" s="506"/>
      <c r="AN84" s="506"/>
      <c r="AO84" s="506"/>
      <c r="AP84" s="506"/>
      <c r="AQ84" s="506"/>
      <c r="AR84" s="506"/>
      <c r="AS84" s="506"/>
      <c r="AT84" s="506"/>
      <c r="AU84" s="506"/>
      <c r="AV84" s="506"/>
      <c r="AW84" s="506"/>
    </row>
    <row r="85" spans="33:49">
      <c r="AG85" s="506"/>
      <c r="AH85" s="506"/>
      <c r="AI85" s="506"/>
      <c r="AJ85" s="506"/>
      <c r="AK85" s="506"/>
      <c r="AL85" s="506"/>
      <c r="AM85" s="506"/>
      <c r="AN85" s="506"/>
      <c r="AO85" s="506"/>
      <c r="AP85" s="506"/>
      <c r="AQ85" s="506"/>
      <c r="AR85" s="506"/>
      <c r="AS85" s="506"/>
      <c r="AT85" s="506"/>
      <c r="AU85" s="506"/>
      <c r="AV85" s="506"/>
      <c r="AW85" s="506"/>
    </row>
    <row r="86" spans="33:49">
      <c r="AG86" s="506"/>
      <c r="AH86" s="506"/>
      <c r="AI86" s="506"/>
      <c r="AJ86" s="506"/>
      <c r="AK86" s="506"/>
      <c r="AL86" s="506"/>
      <c r="AM86" s="506"/>
      <c r="AN86" s="506"/>
      <c r="AO86" s="506"/>
      <c r="AP86" s="506"/>
      <c r="AQ86" s="506"/>
      <c r="AR86" s="506"/>
      <c r="AS86" s="506"/>
      <c r="AT86" s="506"/>
      <c r="AU86" s="506"/>
      <c r="AV86" s="506"/>
      <c r="AW86" s="506"/>
    </row>
    <row r="87" spans="33:49">
      <c r="AG87" s="506"/>
      <c r="AH87" s="506"/>
      <c r="AI87" s="506"/>
      <c r="AJ87" s="506"/>
      <c r="AK87" s="506"/>
      <c r="AL87" s="506"/>
      <c r="AM87" s="506"/>
      <c r="AN87" s="506"/>
      <c r="AO87" s="506"/>
      <c r="AP87" s="506"/>
      <c r="AQ87" s="506"/>
      <c r="AR87" s="506"/>
      <c r="AS87" s="506"/>
      <c r="AT87" s="506"/>
      <c r="AU87" s="506"/>
      <c r="AV87" s="506"/>
      <c r="AW87" s="506"/>
    </row>
    <row r="88" spans="33:49">
      <c r="AG88" s="506"/>
      <c r="AH88" s="506"/>
      <c r="AI88" s="506"/>
      <c r="AJ88" s="506"/>
      <c r="AK88" s="506"/>
      <c r="AL88" s="506"/>
      <c r="AM88" s="506"/>
      <c r="AN88" s="506"/>
      <c r="AO88" s="506"/>
      <c r="AP88" s="506"/>
      <c r="AQ88" s="506"/>
      <c r="AR88" s="506"/>
      <c r="AS88" s="506"/>
      <c r="AT88" s="506"/>
      <c r="AU88" s="506"/>
      <c r="AV88" s="506"/>
      <c r="AW88" s="506"/>
    </row>
    <row r="89" spans="33:49">
      <c r="AG89" s="506"/>
      <c r="AH89" s="506"/>
      <c r="AI89" s="506"/>
      <c r="AJ89" s="506"/>
      <c r="AK89" s="506"/>
      <c r="AL89" s="506"/>
      <c r="AM89" s="506"/>
      <c r="AN89" s="506"/>
      <c r="AO89" s="506"/>
      <c r="AP89" s="506"/>
      <c r="AQ89" s="506"/>
      <c r="AR89" s="506"/>
      <c r="AS89" s="506"/>
      <c r="AT89" s="506"/>
      <c r="AU89" s="506"/>
      <c r="AV89" s="506"/>
      <c r="AW89" s="506"/>
    </row>
    <row r="90" spans="33:49">
      <c r="AG90" s="506"/>
      <c r="AH90" s="506"/>
      <c r="AI90" s="506"/>
      <c r="AJ90" s="506"/>
      <c r="AK90" s="506"/>
      <c r="AL90" s="506"/>
      <c r="AM90" s="506"/>
      <c r="AN90" s="506"/>
      <c r="AO90" s="506"/>
      <c r="AP90" s="506"/>
      <c r="AQ90" s="506"/>
      <c r="AR90" s="506"/>
      <c r="AS90" s="506"/>
      <c r="AT90" s="506"/>
      <c r="AU90" s="506"/>
      <c r="AV90" s="506"/>
      <c r="AW90" s="506"/>
    </row>
    <row r="91" spans="33:49">
      <c r="AG91" s="506"/>
      <c r="AH91" s="506"/>
      <c r="AI91" s="506"/>
      <c r="AJ91" s="506"/>
      <c r="AK91" s="506"/>
      <c r="AL91" s="506"/>
      <c r="AM91" s="506"/>
      <c r="AN91" s="506"/>
      <c r="AO91" s="506"/>
      <c r="AP91" s="506"/>
      <c r="AQ91" s="506"/>
      <c r="AR91" s="506"/>
      <c r="AS91" s="506"/>
      <c r="AT91" s="506"/>
      <c r="AU91" s="506"/>
      <c r="AV91" s="506"/>
      <c r="AW91" s="506"/>
    </row>
    <row r="92" spans="33:49">
      <c r="AG92" s="506"/>
      <c r="AH92" s="506"/>
      <c r="AI92" s="506"/>
      <c r="AJ92" s="506"/>
      <c r="AK92" s="506"/>
      <c r="AL92" s="506"/>
      <c r="AM92" s="506"/>
      <c r="AN92" s="506"/>
      <c r="AO92" s="506"/>
      <c r="AP92" s="506"/>
      <c r="AQ92" s="506"/>
      <c r="AR92" s="506"/>
      <c r="AS92" s="506"/>
      <c r="AT92" s="506"/>
      <c r="AU92" s="506"/>
      <c r="AV92" s="506"/>
      <c r="AW92" s="506"/>
    </row>
    <row r="93" spans="33:49">
      <c r="AG93" s="506"/>
      <c r="AH93" s="506"/>
      <c r="AI93" s="506"/>
      <c r="AJ93" s="506"/>
      <c r="AK93" s="506"/>
      <c r="AL93" s="506"/>
      <c r="AM93" s="506"/>
      <c r="AN93" s="506"/>
      <c r="AO93" s="506"/>
      <c r="AP93" s="506"/>
      <c r="AQ93" s="506"/>
      <c r="AR93" s="506"/>
      <c r="AS93" s="506"/>
      <c r="AT93" s="506"/>
      <c r="AU93" s="506"/>
      <c r="AV93" s="506"/>
      <c r="AW93" s="506"/>
    </row>
    <row r="94" spans="33:49">
      <c r="AG94" s="506"/>
      <c r="AH94" s="506"/>
      <c r="AI94" s="506"/>
      <c r="AJ94" s="506"/>
      <c r="AK94" s="506"/>
      <c r="AL94" s="506"/>
      <c r="AM94" s="506"/>
      <c r="AN94" s="506"/>
      <c r="AO94" s="506"/>
      <c r="AP94" s="506"/>
      <c r="AQ94" s="506"/>
      <c r="AR94" s="506"/>
      <c r="AS94" s="506"/>
      <c r="AT94" s="506"/>
      <c r="AU94" s="506"/>
      <c r="AV94" s="506"/>
      <c r="AW94" s="506"/>
    </row>
    <row r="95" spans="33:49">
      <c r="AG95" s="506"/>
      <c r="AH95" s="506"/>
      <c r="AI95" s="506"/>
      <c r="AJ95" s="506"/>
      <c r="AK95" s="506"/>
      <c r="AL95" s="506"/>
      <c r="AM95" s="506"/>
      <c r="AN95" s="506"/>
      <c r="AO95" s="506"/>
      <c r="AP95" s="506"/>
      <c r="AQ95" s="506"/>
      <c r="AR95" s="506"/>
      <c r="AS95" s="506"/>
      <c r="AT95" s="506"/>
      <c r="AU95" s="506"/>
      <c r="AV95" s="506"/>
      <c r="AW95" s="506"/>
    </row>
    <row r="96" spans="33:49">
      <c r="AG96" s="506"/>
      <c r="AH96" s="506"/>
      <c r="AI96" s="506"/>
      <c r="AJ96" s="506"/>
      <c r="AK96" s="506"/>
      <c r="AL96" s="506"/>
      <c r="AM96" s="506"/>
      <c r="AN96" s="506"/>
      <c r="AO96" s="506"/>
      <c r="AP96" s="506"/>
      <c r="AQ96" s="506"/>
      <c r="AR96" s="506"/>
      <c r="AS96" s="506"/>
      <c r="AT96" s="506"/>
      <c r="AU96" s="506"/>
      <c r="AV96" s="506"/>
      <c r="AW96" s="506"/>
    </row>
    <row r="97" spans="33:49">
      <c r="AG97" s="506"/>
      <c r="AH97" s="506"/>
      <c r="AI97" s="506"/>
      <c r="AJ97" s="506"/>
      <c r="AK97" s="506"/>
      <c r="AL97" s="506"/>
      <c r="AM97" s="506"/>
      <c r="AN97" s="506"/>
      <c r="AO97" s="506"/>
      <c r="AP97" s="506"/>
      <c r="AQ97" s="506"/>
      <c r="AR97" s="506"/>
      <c r="AS97" s="506"/>
      <c r="AT97" s="506"/>
      <c r="AU97" s="506"/>
      <c r="AV97" s="506"/>
      <c r="AW97" s="506"/>
    </row>
    <row r="98" spans="33:49">
      <c r="AG98" s="506"/>
      <c r="AH98" s="506"/>
      <c r="AI98" s="506"/>
      <c r="AJ98" s="506"/>
      <c r="AK98" s="506"/>
      <c r="AL98" s="506"/>
      <c r="AM98" s="506"/>
      <c r="AN98" s="506"/>
      <c r="AO98" s="506"/>
      <c r="AP98" s="506"/>
      <c r="AQ98" s="506"/>
      <c r="AR98" s="506"/>
      <c r="AS98" s="506"/>
      <c r="AT98" s="506"/>
      <c r="AU98" s="506"/>
      <c r="AV98" s="506"/>
      <c r="AW98" s="506"/>
    </row>
    <row r="99" spans="33:49">
      <c r="AG99" s="506"/>
      <c r="AH99" s="506"/>
      <c r="AI99" s="506"/>
      <c r="AJ99" s="506"/>
      <c r="AK99" s="506"/>
      <c r="AL99" s="506"/>
      <c r="AM99" s="506"/>
      <c r="AN99" s="506"/>
      <c r="AO99" s="506"/>
      <c r="AP99" s="506"/>
      <c r="AQ99" s="506"/>
      <c r="AR99" s="506"/>
      <c r="AS99" s="506"/>
      <c r="AT99" s="506"/>
      <c r="AU99" s="506"/>
      <c r="AV99" s="506"/>
      <c r="AW99" s="506"/>
    </row>
    <row r="100" spans="33:49">
      <c r="AG100" s="506"/>
      <c r="AH100" s="506"/>
      <c r="AI100" s="506"/>
      <c r="AJ100" s="506"/>
      <c r="AK100" s="506"/>
      <c r="AL100" s="506"/>
      <c r="AM100" s="506"/>
      <c r="AN100" s="506"/>
      <c r="AO100" s="506"/>
      <c r="AP100" s="506"/>
      <c r="AQ100" s="506"/>
      <c r="AR100" s="506"/>
      <c r="AS100" s="506"/>
      <c r="AT100" s="506"/>
      <c r="AU100" s="506"/>
      <c r="AV100" s="506"/>
      <c r="AW100" s="506"/>
    </row>
    <row r="101" spans="33:49">
      <c r="AG101" s="506"/>
      <c r="AH101" s="506"/>
      <c r="AI101" s="506"/>
      <c r="AJ101" s="506"/>
      <c r="AK101" s="506"/>
      <c r="AL101" s="506"/>
      <c r="AM101" s="506"/>
      <c r="AN101" s="506"/>
      <c r="AO101" s="506"/>
      <c r="AP101" s="506"/>
      <c r="AQ101" s="506"/>
      <c r="AR101" s="506"/>
      <c r="AS101" s="506"/>
      <c r="AT101" s="506"/>
      <c r="AU101" s="506"/>
      <c r="AV101" s="506"/>
      <c r="AW101" s="506"/>
    </row>
    <row r="102" spans="33:49">
      <c r="AG102" s="506"/>
      <c r="AH102" s="506"/>
      <c r="AI102" s="506"/>
      <c r="AJ102" s="506"/>
      <c r="AK102" s="506"/>
      <c r="AL102" s="506"/>
      <c r="AM102" s="506"/>
      <c r="AN102" s="506"/>
      <c r="AO102" s="506"/>
      <c r="AP102" s="506"/>
      <c r="AQ102" s="506"/>
      <c r="AR102" s="506"/>
      <c r="AS102" s="506"/>
      <c r="AT102" s="506"/>
      <c r="AU102" s="506"/>
      <c r="AV102" s="506"/>
      <c r="AW102" s="506"/>
    </row>
    <row r="103" spans="33:49">
      <c r="AG103" s="506"/>
      <c r="AH103" s="506"/>
      <c r="AI103" s="506"/>
      <c r="AJ103" s="506"/>
      <c r="AK103" s="506"/>
      <c r="AL103" s="506"/>
      <c r="AM103" s="506"/>
      <c r="AN103" s="506"/>
      <c r="AO103" s="506"/>
      <c r="AP103" s="506"/>
      <c r="AQ103" s="506"/>
      <c r="AR103" s="506"/>
      <c r="AS103" s="506"/>
      <c r="AT103" s="506"/>
      <c r="AU103" s="506"/>
      <c r="AV103" s="506"/>
      <c r="AW103" s="506"/>
    </row>
    <row r="104" spans="33:49">
      <c r="AG104" s="506"/>
      <c r="AH104" s="506"/>
      <c r="AI104" s="506"/>
      <c r="AJ104" s="506"/>
      <c r="AK104" s="506"/>
      <c r="AL104" s="506"/>
      <c r="AM104" s="506"/>
      <c r="AN104" s="506"/>
      <c r="AO104" s="506"/>
      <c r="AP104" s="506"/>
      <c r="AQ104" s="506"/>
      <c r="AR104" s="506"/>
      <c r="AS104" s="506"/>
      <c r="AT104" s="506"/>
      <c r="AU104" s="506"/>
      <c r="AV104" s="506"/>
      <c r="AW104" s="506"/>
    </row>
    <row r="105" spans="33:49">
      <c r="AG105" s="506"/>
      <c r="AH105" s="506"/>
      <c r="AI105" s="506"/>
      <c r="AJ105" s="506"/>
      <c r="AK105" s="506"/>
      <c r="AL105" s="506"/>
      <c r="AM105" s="506"/>
      <c r="AN105" s="506"/>
      <c r="AO105" s="506"/>
      <c r="AP105" s="506"/>
      <c r="AQ105" s="506"/>
      <c r="AR105" s="506"/>
      <c r="AS105" s="506"/>
      <c r="AT105" s="506"/>
      <c r="AU105" s="506"/>
      <c r="AV105" s="506"/>
      <c r="AW105" s="506"/>
    </row>
    <row r="106" spans="33:49">
      <c r="AG106" s="506"/>
      <c r="AH106" s="506"/>
      <c r="AI106" s="506"/>
      <c r="AJ106" s="506"/>
      <c r="AK106" s="506"/>
      <c r="AL106" s="506"/>
      <c r="AM106" s="506"/>
      <c r="AN106" s="506"/>
      <c r="AO106" s="506"/>
      <c r="AP106" s="506"/>
      <c r="AQ106" s="506"/>
      <c r="AR106" s="506"/>
      <c r="AS106" s="506"/>
      <c r="AT106" s="506"/>
      <c r="AU106" s="506"/>
      <c r="AV106" s="506"/>
      <c r="AW106" s="506"/>
    </row>
    <row r="107" spans="33:49">
      <c r="AG107" s="506"/>
      <c r="AH107" s="506"/>
      <c r="AI107" s="506"/>
      <c r="AJ107" s="506"/>
      <c r="AK107" s="506"/>
      <c r="AL107" s="506"/>
      <c r="AM107" s="506"/>
      <c r="AN107" s="506"/>
      <c r="AO107" s="506"/>
      <c r="AP107" s="506"/>
      <c r="AQ107" s="506"/>
      <c r="AR107" s="506"/>
      <c r="AS107" s="506"/>
      <c r="AT107" s="506"/>
      <c r="AU107" s="506"/>
      <c r="AV107" s="506"/>
      <c r="AW107" s="506"/>
    </row>
    <row r="108" spans="33:49">
      <c r="AG108" s="506"/>
      <c r="AH108" s="506"/>
      <c r="AI108" s="506"/>
      <c r="AJ108" s="506"/>
      <c r="AK108" s="506"/>
      <c r="AL108" s="506"/>
      <c r="AM108" s="506"/>
      <c r="AN108" s="506"/>
      <c r="AO108" s="506"/>
      <c r="AP108" s="506"/>
      <c r="AQ108" s="506"/>
      <c r="AR108" s="506"/>
      <c r="AS108" s="506"/>
      <c r="AT108" s="506"/>
      <c r="AU108" s="506"/>
      <c r="AV108" s="506"/>
      <c r="AW108" s="506"/>
    </row>
    <row r="109" spans="33:49">
      <c r="AG109" s="506"/>
      <c r="AH109" s="506"/>
      <c r="AI109" s="506"/>
      <c r="AJ109" s="506"/>
      <c r="AK109" s="506"/>
      <c r="AL109" s="506"/>
      <c r="AM109" s="506"/>
      <c r="AN109" s="506"/>
      <c r="AO109" s="506"/>
      <c r="AP109" s="506"/>
      <c r="AQ109" s="506"/>
      <c r="AR109" s="506"/>
      <c r="AS109" s="506"/>
      <c r="AT109" s="506"/>
      <c r="AU109" s="506"/>
      <c r="AV109" s="506"/>
      <c r="AW109" s="506"/>
    </row>
    <row r="110" spans="33:49">
      <c r="AG110" s="506"/>
      <c r="AH110" s="506"/>
      <c r="AI110" s="506"/>
      <c r="AJ110" s="506"/>
      <c r="AK110" s="506"/>
      <c r="AL110" s="506"/>
      <c r="AM110" s="506"/>
      <c r="AN110" s="506"/>
      <c r="AO110" s="506"/>
      <c r="AP110" s="506"/>
      <c r="AQ110" s="506"/>
      <c r="AR110" s="506"/>
      <c r="AS110" s="506"/>
      <c r="AT110" s="506"/>
      <c r="AU110" s="506"/>
      <c r="AV110" s="506"/>
      <c r="AW110" s="506"/>
    </row>
    <row r="111" spans="33:49">
      <c r="AG111" s="506"/>
      <c r="AH111" s="506"/>
      <c r="AI111" s="506"/>
      <c r="AJ111" s="506"/>
      <c r="AK111" s="506"/>
      <c r="AL111" s="506"/>
      <c r="AM111" s="506"/>
      <c r="AN111" s="506"/>
      <c r="AO111" s="506"/>
      <c r="AP111" s="506"/>
      <c r="AQ111" s="506"/>
      <c r="AR111" s="506"/>
      <c r="AS111" s="506"/>
      <c r="AT111" s="506"/>
      <c r="AU111" s="506"/>
      <c r="AV111" s="506"/>
      <c r="AW111" s="506"/>
    </row>
    <row r="112" spans="33:49">
      <c r="AG112" s="506"/>
      <c r="AH112" s="506"/>
      <c r="AI112" s="506"/>
      <c r="AJ112" s="506"/>
      <c r="AK112" s="506"/>
      <c r="AL112" s="506"/>
      <c r="AM112" s="506"/>
      <c r="AN112" s="506"/>
      <c r="AO112" s="506"/>
      <c r="AP112" s="506"/>
      <c r="AQ112" s="506"/>
      <c r="AR112" s="506"/>
      <c r="AS112" s="506"/>
      <c r="AT112" s="506"/>
      <c r="AU112" s="506"/>
      <c r="AV112" s="506"/>
      <c r="AW112" s="506"/>
    </row>
    <row r="113" spans="33:49">
      <c r="AG113" s="506"/>
      <c r="AH113" s="506"/>
      <c r="AI113" s="506"/>
      <c r="AJ113" s="506"/>
      <c r="AK113" s="506"/>
      <c r="AL113" s="506"/>
      <c r="AM113" s="506"/>
      <c r="AN113" s="506"/>
      <c r="AO113" s="506"/>
      <c r="AP113" s="506"/>
      <c r="AQ113" s="506"/>
      <c r="AR113" s="506"/>
      <c r="AS113" s="506"/>
      <c r="AT113" s="506"/>
      <c r="AU113" s="506"/>
      <c r="AV113" s="506"/>
      <c r="AW113" s="506"/>
    </row>
    <row r="114" spans="33:49">
      <c r="AG114" s="506"/>
      <c r="AH114" s="506"/>
      <c r="AI114" s="506"/>
      <c r="AJ114" s="506"/>
      <c r="AK114" s="506"/>
      <c r="AL114" s="506"/>
      <c r="AM114" s="506"/>
      <c r="AN114" s="506"/>
      <c r="AO114" s="506"/>
      <c r="AP114" s="506"/>
      <c r="AQ114" s="506"/>
      <c r="AR114" s="506"/>
      <c r="AS114" s="506"/>
      <c r="AT114" s="506"/>
      <c r="AU114" s="506"/>
      <c r="AV114" s="506"/>
      <c r="AW114" s="506"/>
    </row>
    <row r="115" spans="33:49">
      <c r="AG115" s="506"/>
      <c r="AH115" s="506"/>
      <c r="AI115" s="506"/>
      <c r="AJ115" s="506"/>
      <c r="AK115" s="506"/>
      <c r="AL115" s="506"/>
      <c r="AM115" s="506"/>
      <c r="AN115" s="506"/>
      <c r="AO115" s="506"/>
      <c r="AP115" s="506"/>
      <c r="AQ115" s="506"/>
      <c r="AR115" s="506"/>
      <c r="AS115" s="506"/>
      <c r="AT115" s="506"/>
      <c r="AU115" s="506"/>
      <c r="AV115" s="506"/>
      <c r="AW115" s="506"/>
    </row>
    <row r="116" spans="33:49">
      <c r="AG116" s="506"/>
      <c r="AH116" s="506"/>
      <c r="AI116" s="506"/>
      <c r="AJ116" s="506"/>
      <c r="AK116" s="506"/>
      <c r="AL116" s="506"/>
      <c r="AM116" s="506"/>
      <c r="AN116" s="506"/>
      <c r="AO116" s="506"/>
      <c r="AP116" s="506"/>
      <c r="AQ116" s="506"/>
      <c r="AR116" s="506"/>
      <c r="AS116" s="506"/>
      <c r="AT116" s="506"/>
      <c r="AU116" s="506"/>
      <c r="AV116" s="506"/>
      <c r="AW116" s="506"/>
    </row>
    <row r="117" spans="33:49">
      <c r="AG117" s="506"/>
      <c r="AH117" s="506"/>
      <c r="AI117" s="506"/>
      <c r="AJ117" s="506"/>
      <c r="AK117" s="506"/>
      <c r="AL117" s="506"/>
      <c r="AM117" s="506"/>
      <c r="AN117" s="506"/>
      <c r="AO117" s="506"/>
      <c r="AP117" s="506"/>
      <c r="AQ117" s="506"/>
      <c r="AR117" s="506"/>
      <c r="AS117" s="506"/>
      <c r="AT117" s="506"/>
      <c r="AU117" s="506"/>
      <c r="AV117" s="506"/>
      <c r="AW117" s="506"/>
    </row>
    <row r="118" spans="33:49">
      <c r="AG118" s="506"/>
      <c r="AH118" s="506"/>
      <c r="AI118" s="506"/>
      <c r="AJ118" s="506"/>
      <c r="AK118" s="506"/>
      <c r="AL118" s="506"/>
      <c r="AM118" s="506"/>
      <c r="AN118" s="506"/>
      <c r="AO118" s="506"/>
      <c r="AP118" s="506"/>
      <c r="AQ118" s="506"/>
      <c r="AR118" s="506"/>
      <c r="AS118" s="506"/>
      <c r="AT118" s="506"/>
      <c r="AU118" s="506"/>
      <c r="AV118" s="506"/>
      <c r="AW118" s="506"/>
    </row>
    <row r="119" spans="33:49">
      <c r="AG119" s="506"/>
      <c r="AH119" s="506"/>
      <c r="AI119" s="506"/>
      <c r="AJ119" s="506"/>
      <c r="AK119" s="506"/>
      <c r="AL119" s="506"/>
      <c r="AM119" s="506"/>
      <c r="AN119" s="506"/>
      <c r="AO119" s="506"/>
      <c r="AP119" s="506"/>
      <c r="AQ119" s="506"/>
      <c r="AR119" s="506"/>
      <c r="AS119" s="506"/>
      <c r="AT119" s="506"/>
      <c r="AU119" s="506"/>
      <c r="AV119" s="506"/>
      <c r="AW119" s="506"/>
    </row>
    <row r="120" spans="33:49">
      <c r="AG120" s="506"/>
      <c r="AH120" s="506"/>
      <c r="AI120" s="506"/>
      <c r="AJ120" s="506"/>
      <c r="AK120" s="506"/>
      <c r="AL120" s="506"/>
      <c r="AM120" s="506"/>
      <c r="AN120" s="506"/>
      <c r="AO120" s="506"/>
      <c r="AP120" s="506"/>
      <c r="AQ120" s="506"/>
      <c r="AR120" s="506"/>
      <c r="AS120" s="506"/>
      <c r="AT120" s="506"/>
      <c r="AU120" s="506"/>
      <c r="AV120" s="506"/>
      <c r="AW120" s="506"/>
    </row>
    <row r="121" spans="33:49">
      <c r="AG121" s="506"/>
      <c r="AH121" s="506"/>
      <c r="AI121" s="506"/>
      <c r="AJ121" s="506"/>
      <c r="AK121" s="506"/>
      <c r="AL121" s="506"/>
      <c r="AM121" s="506"/>
      <c r="AN121" s="506"/>
      <c r="AO121" s="506"/>
      <c r="AP121" s="506"/>
      <c r="AQ121" s="506"/>
      <c r="AR121" s="506"/>
      <c r="AS121" s="506"/>
      <c r="AT121" s="506"/>
      <c r="AU121" s="506"/>
      <c r="AV121" s="506"/>
      <c r="AW121" s="506"/>
    </row>
    <row r="122" spans="33:49">
      <c r="AG122" s="506"/>
      <c r="AH122" s="506"/>
      <c r="AI122" s="506"/>
      <c r="AJ122" s="506"/>
      <c r="AK122" s="506"/>
      <c r="AL122" s="506"/>
      <c r="AM122" s="506"/>
      <c r="AN122" s="506"/>
      <c r="AO122" s="506"/>
      <c r="AP122" s="506"/>
      <c r="AQ122" s="506"/>
      <c r="AR122" s="506"/>
      <c r="AS122" s="506"/>
      <c r="AT122" s="506"/>
      <c r="AU122" s="506"/>
      <c r="AV122" s="506"/>
      <c r="AW122" s="506"/>
    </row>
    <row r="123" spans="33:49">
      <c r="AG123" s="506"/>
      <c r="AH123" s="506"/>
      <c r="AI123" s="506"/>
      <c r="AJ123" s="506"/>
      <c r="AK123" s="506"/>
      <c r="AL123" s="506"/>
      <c r="AM123" s="506"/>
      <c r="AN123" s="506"/>
      <c r="AO123" s="506"/>
      <c r="AP123" s="506"/>
      <c r="AQ123" s="506"/>
      <c r="AR123" s="506"/>
      <c r="AS123" s="506"/>
      <c r="AT123" s="506"/>
      <c r="AU123" s="506"/>
      <c r="AV123" s="506"/>
      <c r="AW123" s="506"/>
    </row>
    <row r="124" spans="33:49">
      <c r="AG124" s="506"/>
      <c r="AH124" s="506"/>
      <c r="AI124" s="506"/>
      <c r="AJ124" s="506"/>
      <c r="AK124" s="506"/>
      <c r="AL124" s="506"/>
      <c r="AM124" s="506"/>
      <c r="AN124" s="506"/>
      <c r="AO124" s="506"/>
      <c r="AP124" s="506"/>
      <c r="AQ124" s="506"/>
      <c r="AR124" s="506"/>
      <c r="AS124" s="506"/>
      <c r="AT124" s="506"/>
      <c r="AU124" s="506"/>
      <c r="AV124" s="506"/>
      <c r="AW124" s="506"/>
    </row>
    <row r="125" spans="33:49">
      <c r="AG125" s="506"/>
      <c r="AH125" s="506"/>
      <c r="AI125" s="506"/>
      <c r="AJ125" s="506"/>
      <c r="AK125" s="506"/>
      <c r="AL125" s="506"/>
      <c r="AM125" s="506"/>
      <c r="AN125" s="506"/>
      <c r="AO125" s="506"/>
      <c r="AP125" s="506"/>
      <c r="AQ125" s="506"/>
      <c r="AR125" s="506"/>
      <c r="AS125" s="506"/>
      <c r="AT125" s="506"/>
      <c r="AU125" s="506"/>
      <c r="AV125" s="506"/>
      <c r="AW125" s="506"/>
    </row>
    <row r="126" spans="33:49">
      <c r="AG126" s="506"/>
      <c r="AH126" s="506"/>
      <c r="AI126" s="506"/>
      <c r="AJ126" s="506"/>
      <c r="AK126" s="506"/>
      <c r="AL126" s="506"/>
      <c r="AM126" s="506"/>
      <c r="AN126" s="506"/>
      <c r="AO126" s="506"/>
      <c r="AP126" s="506"/>
      <c r="AQ126" s="506"/>
      <c r="AR126" s="506"/>
      <c r="AS126" s="506"/>
      <c r="AT126" s="506"/>
      <c r="AU126" s="506"/>
      <c r="AV126" s="506"/>
      <c r="AW126" s="506"/>
    </row>
    <row r="127" spans="33:49">
      <c r="AG127" s="506"/>
      <c r="AH127" s="506"/>
      <c r="AI127" s="506"/>
      <c r="AJ127" s="506"/>
      <c r="AK127" s="506"/>
      <c r="AL127" s="506"/>
      <c r="AM127" s="506"/>
      <c r="AN127" s="506"/>
      <c r="AO127" s="506"/>
      <c r="AP127" s="506"/>
      <c r="AQ127" s="506"/>
      <c r="AR127" s="506"/>
      <c r="AS127" s="506"/>
      <c r="AT127" s="506"/>
      <c r="AU127" s="506"/>
      <c r="AV127" s="506"/>
      <c r="AW127" s="506"/>
    </row>
    <row r="128" spans="33:49">
      <c r="AG128" s="506"/>
      <c r="AH128" s="506"/>
      <c r="AI128" s="506"/>
      <c r="AJ128" s="506"/>
      <c r="AK128" s="506"/>
      <c r="AL128" s="506"/>
      <c r="AM128" s="506"/>
      <c r="AN128" s="506"/>
      <c r="AO128" s="506"/>
      <c r="AP128" s="506"/>
      <c r="AQ128" s="506"/>
      <c r="AR128" s="506"/>
      <c r="AS128" s="506"/>
      <c r="AT128" s="506"/>
      <c r="AU128" s="506"/>
      <c r="AV128" s="506"/>
      <c r="AW128" s="506"/>
    </row>
    <row r="129" spans="33:49">
      <c r="AG129" s="506"/>
      <c r="AH129" s="506"/>
      <c r="AI129" s="506"/>
      <c r="AJ129" s="506"/>
      <c r="AK129" s="506"/>
      <c r="AL129" s="506"/>
      <c r="AM129" s="506"/>
      <c r="AN129" s="506"/>
      <c r="AO129" s="506"/>
      <c r="AP129" s="506"/>
      <c r="AQ129" s="506"/>
      <c r="AR129" s="506"/>
      <c r="AS129" s="506"/>
      <c r="AT129" s="506"/>
      <c r="AU129" s="506"/>
      <c r="AV129" s="506"/>
      <c r="AW129" s="506"/>
    </row>
    <row r="130" spans="33:49">
      <c r="AG130" s="506"/>
      <c r="AH130" s="506"/>
      <c r="AI130" s="506"/>
      <c r="AJ130" s="506"/>
      <c r="AK130" s="506"/>
      <c r="AL130" s="506"/>
      <c r="AM130" s="506"/>
      <c r="AN130" s="506"/>
      <c r="AO130" s="506"/>
      <c r="AP130" s="506"/>
      <c r="AQ130" s="506"/>
      <c r="AR130" s="506"/>
      <c r="AS130" s="506"/>
      <c r="AT130" s="506"/>
      <c r="AU130" s="506"/>
      <c r="AV130" s="506"/>
      <c r="AW130" s="506"/>
    </row>
    <row r="131" spans="33:49">
      <c r="AG131" s="506"/>
      <c r="AH131" s="506"/>
      <c r="AI131" s="506"/>
      <c r="AJ131" s="506"/>
      <c r="AK131" s="506"/>
      <c r="AL131" s="506"/>
      <c r="AM131" s="506"/>
      <c r="AN131" s="506"/>
      <c r="AO131" s="506"/>
      <c r="AP131" s="506"/>
      <c r="AQ131" s="506"/>
      <c r="AR131" s="506"/>
      <c r="AS131" s="506"/>
      <c r="AT131" s="506"/>
      <c r="AU131" s="506"/>
      <c r="AV131" s="506"/>
      <c r="AW131" s="506"/>
    </row>
    <row r="132" spans="33:49">
      <c r="AG132" s="506"/>
      <c r="AH132" s="506"/>
      <c r="AI132" s="506"/>
      <c r="AJ132" s="506"/>
      <c r="AK132" s="506"/>
      <c r="AL132" s="506"/>
      <c r="AM132" s="506"/>
      <c r="AN132" s="506"/>
      <c r="AO132" s="506"/>
      <c r="AP132" s="506"/>
      <c r="AQ132" s="506"/>
      <c r="AR132" s="506"/>
      <c r="AS132" s="506"/>
      <c r="AT132" s="506"/>
      <c r="AU132" s="506"/>
      <c r="AV132" s="506"/>
      <c r="AW132" s="506"/>
    </row>
    <row r="133" spans="33:49">
      <c r="AG133" s="506"/>
      <c r="AH133" s="506"/>
      <c r="AI133" s="506"/>
      <c r="AJ133" s="506"/>
      <c r="AK133" s="506"/>
      <c r="AL133" s="506"/>
      <c r="AM133" s="506"/>
      <c r="AN133" s="506"/>
      <c r="AO133" s="506"/>
      <c r="AP133" s="506"/>
      <c r="AQ133" s="506"/>
      <c r="AR133" s="506"/>
      <c r="AS133" s="506"/>
      <c r="AT133" s="506"/>
      <c r="AU133" s="506"/>
      <c r="AV133" s="506"/>
      <c r="AW133" s="506"/>
    </row>
    <row r="134" spans="33:49">
      <c r="AG134" s="506"/>
      <c r="AH134" s="506"/>
      <c r="AI134" s="506"/>
      <c r="AJ134" s="506"/>
      <c r="AK134" s="506"/>
      <c r="AL134" s="506"/>
      <c r="AM134" s="506"/>
      <c r="AN134" s="506"/>
      <c r="AO134" s="506"/>
      <c r="AP134" s="506"/>
      <c r="AQ134" s="506"/>
      <c r="AR134" s="506"/>
      <c r="AS134" s="506"/>
      <c r="AT134" s="506"/>
      <c r="AU134" s="506"/>
      <c r="AV134" s="506"/>
      <c r="AW134" s="506"/>
    </row>
  </sheetData>
  <pageMargins left="0.7" right="0.7" top="0.75" bottom="0.75" header="0.3" footer="0.3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Bouton1_Cliquer">
                <anchor moveWithCells="1" sizeWithCells="1">
                  <from>
                    <xdr:col>29</xdr:col>
                    <xdr:colOff>6350</xdr:colOff>
                    <xdr:row>4</xdr:row>
                    <xdr:rowOff>25400</xdr:rowOff>
                  </from>
                  <to>
                    <xdr:col>31</xdr:col>
                    <xdr:colOff>12700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Bouton2_Cliquer">
                <anchor moveWithCells="1" sizeWithCells="1">
                  <from>
                    <xdr:col>29</xdr:col>
                    <xdr:colOff>31750</xdr:colOff>
                    <xdr:row>6</xdr:row>
                    <xdr:rowOff>101600</xdr:rowOff>
                  </from>
                  <to>
                    <xdr:col>31</xdr:col>
                    <xdr:colOff>38100</xdr:colOff>
                    <xdr:row>7</xdr:row>
                    <xdr:rowOff>196850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R58"/>
  <sheetViews>
    <sheetView workbookViewId="0">
      <selection activeCell="G1" sqref="G1"/>
    </sheetView>
  </sheetViews>
  <sheetFormatPr baseColWidth="10" defaultRowHeight="14.5"/>
  <cols>
    <col min="1" max="1" width="11.90625" style="382" customWidth="1"/>
    <col min="2" max="2" width="12.1796875" style="382" customWidth="1"/>
    <col min="3" max="3" width="9.26953125" style="382" customWidth="1"/>
    <col min="4" max="4" width="8.36328125" style="382" customWidth="1"/>
    <col min="5" max="5" width="9" style="382" customWidth="1"/>
    <col min="6" max="6" width="10.90625" style="382"/>
    <col min="7" max="7" width="9.36328125" style="382" customWidth="1"/>
    <col min="8" max="8" width="5.81640625" style="382" customWidth="1"/>
    <col min="9" max="9" width="8.26953125" style="382" customWidth="1"/>
    <col min="10" max="10" width="6" style="382" customWidth="1"/>
    <col min="11" max="11" width="6.6328125" style="382" customWidth="1"/>
    <col min="12" max="12" width="8.08984375" style="382" customWidth="1"/>
    <col min="13" max="13" width="7.1796875" style="382" customWidth="1"/>
    <col min="14" max="14" width="6.1796875" style="382" customWidth="1"/>
    <col min="15" max="15" width="8.54296875" style="382" customWidth="1"/>
    <col min="16" max="16" width="6.90625" style="382" customWidth="1"/>
    <col min="17" max="17" width="7.08984375" style="382" customWidth="1"/>
    <col min="18" max="18" width="6.90625" style="382" customWidth="1"/>
    <col min="19" max="16384" width="10.90625" style="382"/>
  </cols>
  <sheetData>
    <row r="1" spans="1:18" ht="15" thickBot="1">
      <c r="A1" s="382" t="s">
        <v>65</v>
      </c>
      <c r="B1" s="383">
        <v>0.2</v>
      </c>
      <c r="F1" s="384" t="s">
        <v>42</v>
      </c>
      <c r="G1" s="384" t="s">
        <v>66</v>
      </c>
      <c r="H1" s="385" t="s">
        <v>67</v>
      </c>
      <c r="I1" s="386"/>
      <c r="K1" s="386" t="s">
        <v>1</v>
      </c>
      <c r="N1" s="385" t="s">
        <v>67</v>
      </c>
      <c r="O1" s="386"/>
      <c r="Q1" s="386" t="s">
        <v>2</v>
      </c>
    </row>
    <row r="2" spans="1:18" ht="15" thickBot="1">
      <c r="F2" s="387">
        <f>Input!AP23</f>
        <v>103.9</v>
      </c>
      <c r="G2" s="387">
        <f>F2/2</f>
        <v>51.95</v>
      </c>
      <c r="H2" s="388" t="s">
        <v>68</v>
      </c>
      <c r="I2" s="389" t="s">
        <v>69</v>
      </c>
      <c r="J2" s="389" t="s">
        <v>70</v>
      </c>
      <c r="K2" s="389" t="s">
        <v>71</v>
      </c>
      <c r="L2" s="390" t="s">
        <v>72</v>
      </c>
      <c r="N2" s="388" t="s">
        <v>68</v>
      </c>
      <c r="O2" s="389" t="s">
        <v>69</v>
      </c>
      <c r="P2" s="389" t="s">
        <v>70</v>
      </c>
      <c r="Q2" s="389" t="s">
        <v>71</v>
      </c>
      <c r="R2" s="390" t="s">
        <v>72</v>
      </c>
    </row>
    <row r="3" spans="1:18">
      <c r="A3" s="391" t="s">
        <v>68</v>
      </c>
      <c r="B3" s="392" t="s">
        <v>69</v>
      </c>
      <c r="C3" s="392" t="s">
        <v>70</v>
      </c>
      <c r="D3" s="392" t="s">
        <v>71</v>
      </c>
      <c r="E3" s="393" t="s">
        <v>72</v>
      </c>
      <c r="F3" s="394" t="s">
        <v>73</v>
      </c>
      <c r="H3" s="395">
        <f>LOOKUP(H4,$A$4:$A$56,$A$4:$A$56)</f>
        <v>5.6000000000000023</v>
      </c>
      <c r="I3" s="396">
        <f>VLOOKUP($H$3,$A$4:$E$56,2)</f>
        <v>9450</v>
      </c>
      <c r="J3" s="396">
        <f>VLOOKUP($H$3,$A$4:$E$56,3)</f>
        <v>18.649999999999999</v>
      </c>
      <c r="K3" s="396">
        <f>VLOOKUP($H$3,$A$4:$E$56,4)</f>
        <v>-1.8799999999999955</v>
      </c>
      <c r="L3" s="396">
        <f>VLOOKUP($H$3,$A$4:$E$56,5)</f>
        <v>128.99</v>
      </c>
      <c r="N3" s="395">
        <f>LOOKUP(N4,A4:A56,A4:A56)</f>
        <v>3.0000000000000004</v>
      </c>
      <c r="O3" s="396">
        <f>VLOOKUP($N$3,$A$4:$E$56,2)</f>
        <v>4749</v>
      </c>
      <c r="P3" s="396">
        <f>VLOOKUP($N$3,$A$4:$E$56,3)</f>
        <v>17.57</v>
      </c>
      <c r="Q3" s="396">
        <f>VLOOKUP($N$3,$A$4:$E$56,4)</f>
        <v>-4.0900000000000034</v>
      </c>
      <c r="R3" s="396">
        <f>VLOOKUP($N$3,$A$4:$E$56,5)</f>
        <v>109.55</v>
      </c>
    </row>
    <row r="4" spans="1:18">
      <c r="A4" s="397">
        <v>1</v>
      </c>
      <c r="B4" s="398">
        <v>1355</v>
      </c>
      <c r="C4" s="399">
        <v>16.05</v>
      </c>
      <c r="D4" s="432">
        <v>-4.4200000000000017</v>
      </c>
      <c r="E4" s="400">
        <v>88.42</v>
      </c>
      <c r="F4" s="401">
        <v>101.29</v>
      </c>
      <c r="H4" s="402">
        <f>DSReport!M42</f>
        <v>5.7629999999999999</v>
      </c>
      <c r="I4" s="403">
        <f>ROUND((($H$4-$H$3)*(I5-I3)/($H$5-$H$3))+I3,2)</f>
        <v>9754.81</v>
      </c>
      <c r="J4" s="403">
        <f>ROUND((($H$4-$H$3)*(J5-J3)/($H$5-$H$3))+J3,2)</f>
        <v>18.739999999999998</v>
      </c>
      <c r="K4" s="403">
        <f>ROUND((($H$4-$H$3)*(K5-K3)/($H$5-$H$3))+K3,3)</f>
        <v>-1.619</v>
      </c>
      <c r="L4" s="403">
        <f>ROUND((($H$4-$H$3)*(L5-L3)/($H$5-$H$3))+L3,2)</f>
        <v>130.77000000000001</v>
      </c>
      <c r="N4" s="402">
        <f>DSReport!T42</f>
        <v>3.1832050342130986</v>
      </c>
      <c r="O4" s="403">
        <f>ROUND((($N$4-$N$3)*(O5-O3)/($N$5-$N$3))+O3,2)</f>
        <v>5071.4399999999996</v>
      </c>
      <c r="P4" s="403">
        <f>ROUND((($N$4-$N$3)*(P5-P3)/($N$5-$N$3))+P3,2)</f>
        <v>17.649999999999999</v>
      </c>
      <c r="Q4" s="403">
        <f>ROUND((($N$4-$N$3)*(Q5-Q3)/($N$5-$N$3))+Q3,3)</f>
        <v>-4.2460000000000004</v>
      </c>
      <c r="R4" s="403">
        <f>ROUND((($N$4-$N$3)*(R5-R3)/($N$5-$N$3))+R3,2)</f>
        <v>110.76</v>
      </c>
    </row>
    <row r="5" spans="1:18" ht="15" thickBot="1">
      <c r="A5" s="404">
        <f t="shared" ref="A5:A36" si="0">A4+$B$1</f>
        <v>1.2</v>
      </c>
      <c r="B5" s="398">
        <v>1679</v>
      </c>
      <c r="C5" s="399">
        <v>16.32</v>
      </c>
      <c r="D5" s="432">
        <v>-4.4000000000000057</v>
      </c>
      <c r="E5" s="400">
        <v>91.64</v>
      </c>
      <c r="F5" s="401">
        <v>101.27000000000001</v>
      </c>
      <c r="H5" s="405">
        <f>H3+$B$1+0.00000000001</f>
        <v>5.8000000000100025</v>
      </c>
      <c r="I5" s="406">
        <f>VLOOKUP($H$5,$A$4:$E$56,2)</f>
        <v>9824</v>
      </c>
      <c r="J5" s="406">
        <f>VLOOKUP($H$5,$A$4:$E$56,3)</f>
        <v>18.760000000000002</v>
      </c>
      <c r="K5" s="406">
        <f>VLOOKUP($H$5,$A$4:$E$56,4)</f>
        <v>-1.5600000000000023</v>
      </c>
      <c r="L5" s="406">
        <f>VLOOKUP($H$5,$A$4:$E$56,5)</f>
        <v>131.18</v>
      </c>
      <c r="N5" s="405">
        <f>N3+B1+0.0000000001</f>
        <v>3.2000000001000006</v>
      </c>
      <c r="O5" s="406">
        <f>VLOOKUP($N$5,$A$4:$E$56,2)</f>
        <v>5101</v>
      </c>
      <c r="P5" s="406">
        <f>VLOOKUP($N$5,$A$4:$E$56,3)</f>
        <v>17.66</v>
      </c>
      <c r="Q5" s="406">
        <f>VLOOKUP($N$5,$A$4:$E$56,4)</f>
        <v>-4.2600000000000051</v>
      </c>
      <c r="R5" s="406">
        <f>VLOOKUP($N$5,$A$4:$E$56,5)</f>
        <v>110.87</v>
      </c>
    </row>
    <row r="6" spans="1:18" ht="15" thickBot="1">
      <c r="A6" s="404">
        <f t="shared" si="0"/>
        <v>1.4</v>
      </c>
      <c r="B6" s="398">
        <v>2008</v>
      </c>
      <c r="C6" s="399">
        <v>16.55</v>
      </c>
      <c r="D6" s="432">
        <v>-4.3799999999999955</v>
      </c>
      <c r="E6" s="400">
        <v>94.54</v>
      </c>
      <c r="F6" s="401">
        <v>101.25</v>
      </c>
    </row>
    <row r="7" spans="1:18" ht="15" thickBot="1">
      <c r="A7" s="404">
        <f t="shared" si="0"/>
        <v>1.5999999999999999</v>
      </c>
      <c r="B7" s="398">
        <v>2341</v>
      </c>
      <c r="C7" s="399">
        <v>16.739999999999998</v>
      </c>
      <c r="D7" s="432">
        <v>-4.3599999999999994</v>
      </c>
      <c r="E7" s="400">
        <v>97.12</v>
      </c>
      <c r="F7" s="401">
        <v>101.23</v>
      </c>
      <c r="H7" s="388" t="s">
        <v>68</v>
      </c>
      <c r="I7" s="389" t="s">
        <v>69</v>
      </c>
      <c r="J7" s="389" t="s">
        <v>70</v>
      </c>
      <c r="K7" s="389" t="s">
        <v>71</v>
      </c>
      <c r="L7" s="407" t="s">
        <v>74</v>
      </c>
      <c r="N7" s="388" t="s">
        <v>68</v>
      </c>
      <c r="O7" s="389" t="s">
        <v>69</v>
      </c>
      <c r="P7" s="389" t="s">
        <v>70</v>
      </c>
      <c r="Q7" s="389" t="s">
        <v>71</v>
      </c>
      <c r="R7" s="407" t="s">
        <v>74</v>
      </c>
    </row>
    <row r="8" spans="1:18">
      <c r="A8" s="404">
        <f t="shared" si="0"/>
        <v>1.7999999999999998</v>
      </c>
      <c r="B8" s="398">
        <v>2677</v>
      </c>
      <c r="C8" s="399">
        <v>16.899999999999999</v>
      </c>
      <c r="D8" s="432">
        <v>-4.3400000000000034</v>
      </c>
      <c r="E8" s="400">
        <v>99.43</v>
      </c>
      <c r="F8" s="401">
        <v>101.21000000000001</v>
      </c>
      <c r="H8" s="395">
        <f>LOOKUP(H9,$A$4:$A$56,$A$4:$A$56)</f>
        <v>6.2000000000000028</v>
      </c>
      <c r="I8" s="396">
        <f>VLOOKUP($H$8,$A$4:$E$56,2)</f>
        <v>10579</v>
      </c>
      <c r="J8" s="396">
        <f>VLOOKUP($H$8,$A$4:$E$56,3)</f>
        <v>18.97</v>
      </c>
      <c r="K8" s="396">
        <f>VLOOKUP($H$8,$A$4:$E$56,4)</f>
        <v>-0.90999999999999659</v>
      </c>
      <c r="L8" s="396">
        <f>VLOOKUP($H$8,$A$4:$E$56,5)</f>
        <v>135.53</v>
      </c>
      <c r="N8" s="395">
        <f>LOOKUP(N9,A4:A56,A4:A56)</f>
        <v>3.600000000000001</v>
      </c>
      <c r="O8" s="396">
        <f>VLOOKUP($N$8,$A$4:$E$56,2)</f>
        <v>5810</v>
      </c>
      <c r="P8" s="396">
        <f>VLOOKUP($N$8,$A$4:$E$56,3)</f>
        <v>17.809999999999999</v>
      </c>
      <c r="Q8" s="396">
        <f>VLOOKUP($N$8,$A$4:$E$56,4)</f>
        <v>-3.8499999999999943</v>
      </c>
      <c r="R8" s="396">
        <f>VLOOKUP($N$8,$A$4:$E$56,5)</f>
        <v>113.37</v>
      </c>
    </row>
    <row r="9" spans="1:18">
      <c r="A9" s="404">
        <f t="shared" si="0"/>
        <v>1.9999999999999998</v>
      </c>
      <c r="B9" s="398">
        <v>3016</v>
      </c>
      <c r="C9" s="399">
        <v>17.04</v>
      </c>
      <c r="D9" s="432">
        <v>-4.3100000000000023</v>
      </c>
      <c r="E9" s="400">
        <v>101.5</v>
      </c>
      <c r="F9" s="401">
        <v>101.18</v>
      </c>
      <c r="H9" s="408">
        <f>H4+0.5</f>
        <v>6.2629999999999999</v>
      </c>
      <c r="I9" s="409">
        <f>ROUND((($H$9-$H$8)*(I10-I8)/($H$10-$H$8))+I8,2)</f>
        <v>10698.7</v>
      </c>
      <c r="J9" s="409">
        <f>ROUND((($H$9-$H$8)*(J10-J8)/($H$10-$H$8))+J8,2)</f>
        <v>19</v>
      </c>
      <c r="K9" s="409">
        <f>ROUND((($H$9-$H$8)*(K10-K8)/($H$10-$H$8))+K8,2)</f>
        <v>-0.8</v>
      </c>
      <c r="L9" s="409">
        <f>ROUND((($H$9-$H$8)*(L10-L8)/($H$10-$H$8))+L8,2)</f>
        <v>136.19999999999999</v>
      </c>
      <c r="N9" s="408">
        <f>N4+0.5</f>
        <v>3.6832050342130986</v>
      </c>
      <c r="O9" s="409">
        <f>ROUND((($N$9-$N$8)*(O10-O8)/($N$10-$N$8))+O8,2)</f>
        <v>5958.52</v>
      </c>
      <c r="P9" s="409">
        <f>ROUND((($N$9-$N$8)*(P10-P8)/($N$10-$N$8))+P8,2)</f>
        <v>17.84</v>
      </c>
      <c r="Q9" s="409">
        <f>ROUND((($N$9-$N$8)*(Q10-Q8)/($N$10-$N$8))+Q8,2)</f>
        <v>-3.8</v>
      </c>
      <c r="R9" s="409">
        <f>ROUND((($N$9-$N$8)*(R10-R8)/($N$10-$N$8))+R8,2)</f>
        <v>113.88</v>
      </c>
    </row>
    <row r="10" spans="1:18" ht="15" thickBot="1">
      <c r="A10" s="404">
        <f t="shared" si="0"/>
        <v>2.1999999999999997</v>
      </c>
      <c r="B10" s="398">
        <v>3358</v>
      </c>
      <c r="C10" s="399">
        <v>17.170000000000002</v>
      </c>
      <c r="D10" s="432">
        <v>-4.2800000000000011</v>
      </c>
      <c r="E10" s="400">
        <v>103.38</v>
      </c>
      <c r="F10" s="401">
        <v>101.15</v>
      </c>
      <c r="H10" s="405">
        <f>H8+$B$1+0.00000000001</f>
        <v>6.400000000010003</v>
      </c>
      <c r="I10" s="406">
        <f>VLOOKUP($H$10,$A$4:$E$56,2)</f>
        <v>10959</v>
      </c>
      <c r="J10" s="406">
        <f>VLOOKUP($H$10,$A$4:$E$56,3)</f>
        <v>19.07</v>
      </c>
      <c r="K10" s="406">
        <f>VLOOKUP($H$10,$A$4:$E$56,4)</f>
        <v>-0.56999999999999318</v>
      </c>
      <c r="L10" s="406">
        <f>VLOOKUP($H$10,$A$4:$E$56,5)</f>
        <v>137.65</v>
      </c>
      <c r="N10" s="405">
        <f>N8+B1+0.0000000001</f>
        <v>3.8000000001000012</v>
      </c>
      <c r="O10" s="406">
        <f>VLOOKUP($N$10,$A$4:$E$56,2)</f>
        <v>6167</v>
      </c>
      <c r="P10" s="406">
        <f>VLOOKUP($N$10,$A$4:$E$56,3)</f>
        <v>17.88</v>
      </c>
      <c r="Q10" s="406">
        <f>VLOOKUP($N$10,$A$4:$E$56,4)</f>
        <v>-3.7399999999999949</v>
      </c>
      <c r="R10" s="406">
        <f>VLOOKUP($N$10,$A$4:$E$56,5)</f>
        <v>114.59</v>
      </c>
    </row>
    <row r="11" spans="1:18" ht="15" thickBot="1">
      <c r="A11" s="404">
        <f t="shared" si="0"/>
        <v>2.4</v>
      </c>
      <c r="B11" s="398">
        <v>3703</v>
      </c>
      <c r="C11" s="399">
        <v>17.28</v>
      </c>
      <c r="D11" s="432">
        <v>-4.25</v>
      </c>
      <c r="E11" s="400">
        <v>105.11</v>
      </c>
      <c r="F11" s="401">
        <v>101.12</v>
      </c>
    </row>
    <row r="12" spans="1:18" ht="15" thickBot="1">
      <c r="A12" s="404">
        <f t="shared" si="0"/>
        <v>2.6</v>
      </c>
      <c r="B12" s="398">
        <v>4050</v>
      </c>
      <c r="C12" s="399">
        <v>17.39</v>
      </c>
      <c r="D12" s="432">
        <v>-4.3100000000000023</v>
      </c>
      <c r="E12" s="400">
        <v>106.69</v>
      </c>
      <c r="F12" s="401">
        <v>101.18</v>
      </c>
      <c r="H12" s="388" t="s">
        <v>68</v>
      </c>
      <c r="I12" s="389" t="s">
        <v>69</v>
      </c>
      <c r="J12" s="389" t="s">
        <v>70</v>
      </c>
      <c r="K12" s="389" t="s">
        <v>71</v>
      </c>
      <c r="L12" s="407" t="s">
        <v>75</v>
      </c>
      <c r="N12" s="388" t="s">
        <v>68</v>
      </c>
      <c r="O12" s="389" t="s">
        <v>69</v>
      </c>
      <c r="P12" s="389" t="s">
        <v>70</v>
      </c>
      <c r="Q12" s="389" t="s">
        <v>71</v>
      </c>
      <c r="R12" s="407" t="s">
        <v>75</v>
      </c>
    </row>
    <row r="13" spans="1:18">
      <c r="A13" s="404">
        <f t="shared" si="0"/>
        <v>2.8000000000000003</v>
      </c>
      <c r="B13" s="398">
        <v>4398</v>
      </c>
      <c r="C13" s="399">
        <v>17.48</v>
      </c>
      <c r="D13" s="432">
        <v>-4.2900000000000063</v>
      </c>
      <c r="E13" s="400">
        <v>574.37</v>
      </c>
      <c r="F13" s="401">
        <v>101.16000000000001</v>
      </c>
      <c r="H13" s="395">
        <f>LOOKUP(H14,$A$4:$A$56,$A$4:$A$56)</f>
        <v>5.200000000000002</v>
      </c>
      <c r="I13" s="396">
        <f>VLOOKUP($H$13,$A$4:$E$56,2)</f>
        <v>8708</v>
      </c>
      <c r="J13" s="396">
        <f>VLOOKUP($H$13,$A$4:$E$56,3)</f>
        <v>18.45</v>
      </c>
      <c r="K13" s="396">
        <f>VLOOKUP($H$13,$A$4:$E$56,4)</f>
        <v>-2.4500000000000028</v>
      </c>
      <c r="L13" s="396">
        <f>VLOOKUP($H$13,$A$4:$E$56,5)</f>
        <v>124.93</v>
      </c>
      <c r="N13" s="395">
        <f>LOOKUP(N14,A4:A56,A4:A56)</f>
        <v>2.6</v>
      </c>
      <c r="O13" s="396">
        <f>VLOOKUP($N$13,$A$4:$E$56,2)</f>
        <v>4050</v>
      </c>
      <c r="P13" s="396">
        <f>VLOOKUP($N$13,$A$4:$E$56,3)</f>
        <v>17.39</v>
      </c>
      <c r="Q13" s="396">
        <f>VLOOKUP($N$13,$A$4:$E$56,4)</f>
        <v>-4.3100000000000023</v>
      </c>
      <c r="R13" s="396">
        <f>VLOOKUP($N$13,$A$4:$E$56,5)</f>
        <v>106.69</v>
      </c>
    </row>
    <row r="14" spans="1:18">
      <c r="A14" s="404">
        <f t="shared" si="0"/>
        <v>3.0000000000000004</v>
      </c>
      <c r="B14" s="398">
        <v>4749</v>
      </c>
      <c r="C14" s="399">
        <v>17.57</v>
      </c>
      <c r="D14" s="432">
        <v>-4.0900000000000034</v>
      </c>
      <c r="E14" s="400">
        <v>109.55</v>
      </c>
      <c r="F14" s="401">
        <v>100.96000000000001</v>
      </c>
      <c r="H14" s="408">
        <f>H4-0.5</f>
        <v>5.2629999999999999</v>
      </c>
      <c r="I14" s="409">
        <f>ROUND((($H$14-$H$13)*(I15-I13)/($H$15-$H$13))+I13,2)</f>
        <v>8824.5499999999993</v>
      </c>
      <c r="J14" s="409">
        <f>ROUND((($H$14-$H$13)*(J15-J13)/($H$15-$H$13))+J13,2)</f>
        <v>18.48</v>
      </c>
      <c r="K14" s="409">
        <f>ROUND((($H$14-$H$13)*(K15-K13)/($H$15-$H$13))+K13,2)</f>
        <v>-2.36</v>
      </c>
      <c r="L14" s="409">
        <f>ROUND((($H$14-$H$13)*(L15-L13)/($H$15-$H$13))+L13,2)</f>
        <v>125.55</v>
      </c>
      <c r="N14" s="408">
        <f>N4-0.5</f>
        <v>2.6832050342130986</v>
      </c>
      <c r="O14" s="409">
        <f>ROUND((($N$14-$N$13)*(O15-O13)/($N$15-$N$13))+O13,2)</f>
        <v>4194.78</v>
      </c>
      <c r="P14" s="409">
        <f>ROUND((($N$14-$N$13)*(P15-P13)/($N$15-$N$13))+P13,2)</f>
        <v>17.43</v>
      </c>
      <c r="Q14" s="409">
        <f>ROUND((($N$14-$N$13)*(Q15-Q13)/($N$15-$N$13))+Q13,2)</f>
        <v>-4.3</v>
      </c>
      <c r="R14" s="409">
        <f>ROUND((($N$14-$N$13)*(R15-R13)/($N$15-$N$13))+R13,2)</f>
        <v>301.26</v>
      </c>
    </row>
    <row r="15" spans="1:18" ht="15" thickBot="1">
      <c r="A15" s="404">
        <f t="shared" si="0"/>
        <v>3.2000000000000006</v>
      </c>
      <c r="B15" s="398">
        <v>5101</v>
      </c>
      <c r="C15" s="399">
        <v>17.66</v>
      </c>
      <c r="D15" s="432">
        <v>-4.2600000000000051</v>
      </c>
      <c r="E15" s="400">
        <v>110.87</v>
      </c>
      <c r="F15" s="401">
        <v>101.13000000000001</v>
      </c>
      <c r="H15" s="405">
        <f>H13+$B$1+0.00000000001</f>
        <v>5.4000000000100021</v>
      </c>
      <c r="I15" s="406">
        <f>VLOOKUP($H$15,$A$4:$E$56,2)</f>
        <v>9078</v>
      </c>
      <c r="J15" s="406">
        <f>VLOOKUP($H$15,$A$4:$E$56,3)</f>
        <v>18.55</v>
      </c>
      <c r="K15" s="406">
        <f>VLOOKUP($H$15,$A$4:$E$56,4)</f>
        <v>-2.1700000000000017</v>
      </c>
      <c r="L15" s="406">
        <f>VLOOKUP($H$15,$A$4:$E$56,5)</f>
        <v>126.9</v>
      </c>
      <c r="N15" s="405">
        <f>N13+$B$1+0.00000000001</f>
        <v>2.8000000000100003</v>
      </c>
      <c r="O15" s="406">
        <f>VLOOKUP($N$15,$A$4:$E$56,2)</f>
        <v>4398</v>
      </c>
      <c r="P15" s="406">
        <f>VLOOKUP($N$15,$A$4:$E$56,3)</f>
        <v>17.48</v>
      </c>
      <c r="Q15" s="406">
        <f>VLOOKUP($N$15,$A$4:$E$56,4)</f>
        <v>-4.2900000000000063</v>
      </c>
      <c r="R15" s="406">
        <f>VLOOKUP($N$15,$A$4:$E$56,5)</f>
        <v>574.37</v>
      </c>
    </row>
    <row r="16" spans="1:18">
      <c r="A16" s="404">
        <f t="shared" si="0"/>
        <v>3.4000000000000008</v>
      </c>
      <c r="B16" s="398">
        <v>5455</v>
      </c>
      <c r="C16" s="399">
        <v>17.73</v>
      </c>
      <c r="D16" s="432">
        <v>-3.9399999999999977</v>
      </c>
      <c r="E16" s="400">
        <v>112.13</v>
      </c>
      <c r="F16" s="401">
        <v>100.81</v>
      </c>
    </row>
    <row r="17" spans="1:6">
      <c r="A17" s="404">
        <f t="shared" si="0"/>
        <v>3.600000000000001</v>
      </c>
      <c r="B17" s="398">
        <v>5810</v>
      </c>
      <c r="C17" s="399">
        <v>17.809999999999999</v>
      </c>
      <c r="D17" s="432">
        <v>-3.8499999999999943</v>
      </c>
      <c r="E17" s="400">
        <v>113.37</v>
      </c>
      <c r="F17" s="401">
        <v>100.72</v>
      </c>
    </row>
    <row r="18" spans="1:6">
      <c r="A18" s="404">
        <f t="shared" si="0"/>
        <v>3.8000000000000012</v>
      </c>
      <c r="B18" s="398">
        <v>6167</v>
      </c>
      <c r="C18" s="399">
        <v>17.88</v>
      </c>
      <c r="D18" s="432">
        <v>-3.7399999999999949</v>
      </c>
      <c r="E18" s="400">
        <v>114.59</v>
      </c>
      <c r="F18" s="401">
        <v>100.61</v>
      </c>
    </row>
    <row r="19" spans="1:6">
      <c r="A19" s="404">
        <f t="shared" si="0"/>
        <v>4.0000000000000009</v>
      </c>
      <c r="B19" s="398">
        <v>6526</v>
      </c>
      <c r="C19" s="399">
        <v>17.96</v>
      </c>
      <c r="D19" s="432">
        <v>-3.6200000000000045</v>
      </c>
      <c r="E19" s="400">
        <v>115.82</v>
      </c>
      <c r="F19" s="401">
        <v>100.49000000000001</v>
      </c>
    </row>
    <row r="20" spans="1:6">
      <c r="A20" s="404">
        <f t="shared" si="0"/>
        <v>4.2000000000000011</v>
      </c>
      <c r="B20" s="398">
        <v>6885</v>
      </c>
      <c r="C20" s="399">
        <v>18.03</v>
      </c>
      <c r="D20" s="432">
        <v>-3.480000000000004</v>
      </c>
      <c r="E20" s="400">
        <v>117.08</v>
      </c>
      <c r="F20" s="401">
        <v>100.35000000000001</v>
      </c>
    </row>
    <row r="21" spans="1:6">
      <c r="A21" s="404">
        <f t="shared" si="0"/>
        <v>4.4000000000000012</v>
      </c>
      <c r="B21" s="398">
        <v>7247</v>
      </c>
      <c r="C21" s="399">
        <v>18.100000000000001</v>
      </c>
      <c r="D21" s="432">
        <v>-3.3199999999999932</v>
      </c>
      <c r="E21" s="400">
        <v>118.41</v>
      </c>
      <c r="F21" s="401">
        <v>100.19</v>
      </c>
    </row>
    <row r="22" spans="1:6">
      <c r="A22" s="404">
        <f t="shared" si="0"/>
        <v>4.6000000000000014</v>
      </c>
      <c r="B22" s="398">
        <v>7609</v>
      </c>
      <c r="C22" s="399">
        <v>18.190000000000001</v>
      </c>
      <c r="D22" s="432">
        <v>-3.1400000000000006</v>
      </c>
      <c r="E22" s="400">
        <v>119.84</v>
      </c>
      <c r="F22" s="401">
        <v>100.01</v>
      </c>
    </row>
    <row r="23" spans="1:6">
      <c r="A23" s="404">
        <f t="shared" si="0"/>
        <v>4.8000000000000016</v>
      </c>
      <c r="B23" s="398">
        <v>7974</v>
      </c>
      <c r="C23" s="399">
        <v>18.27</v>
      </c>
      <c r="D23" s="432">
        <v>-2.9399999999999977</v>
      </c>
      <c r="E23" s="400">
        <v>121.4</v>
      </c>
      <c r="F23" s="401">
        <v>99.81</v>
      </c>
    </row>
    <row r="24" spans="1:6">
      <c r="A24" s="404">
        <f t="shared" si="0"/>
        <v>5.0000000000000018</v>
      </c>
      <c r="B24" s="398">
        <v>8340</v>
      </c>
      <c r="C24" s="399">
        <v>18.36</v>
      </c>
      <c r="D24" s="432">
        <v>-2.7099999999999937</v>
      </c>
      <c r="E24" s="400">
        <v>123.09</v>
      </c>
      <c r="F24" s="401">
        <v>99.58</v>
      </c>
    </row>
    <row r="25" spans="1:6">
      <c r="A25" s="404">
        <f t="shared" si="0"/>
        <v>5.200000000000002</v>
      </c>
      <c r="B25" s="398">
        <v>8708</v>
      </c>
      <c r="C25" s="399">
        <v>18.45</v>
      </c>
      <c r="D25" s="432">
        <v>-2.4500000000000028</v>
      </c>
      <c r="E25" s="400">
        <v>124.93</v>
      </c>
      <c r="F25" s="401">
        <v>99.320000000000007</v>
      </c>
    </row>
    <row r="26" spans="1:6">
      <c r="A26" s="404">
        <f t="shared" si="0"/>
        <v>5.4000000000000021</v>
      </c>
      <c r="B26" s="398">
        <v>9078</v>
      </c>
      <c r="C26" s="399">
        <v>18.55</v>
      </c>
      <c r="D26" s="432">
        <v>-2.1700000000000017</v>
      </c>
      <c r="E26" s="400">
        <v>126.9</v>
      </c>
      <c r="F26" s="401">
        <v>99.04</v>
      </c>
    </row>
    <row r="27" spans="1:6">
      <c r="A27" s="404">
        <f t="shared" si="0"/>
        <v>5.6000000000000023</v>
      </c>
      <c r="B27" s="398">
        <v>9450</v>
      </c>
      <c r="C27" s="399">
        <v>18.649999999999999</v>
      </c>
      <c r="D27" s="432">
        <v>-1.8799999999999955</v>
      </c>
      <c r="E27" s="400">
        <v>128.99</v>
      </c>
      <c r="F27" s="401">
        <v>98.75</v>
      </c>
    </row>
    <row r="28" spans="1:6">
      <c r="A28" s="404">
        <f t="shared" si="0"/>
        <v>5.8000000000000025</v>
      </c>
      <c r="B28" s="398">
        <v>9824</v>
      </c>
      <c r="C28" s="399">
        <v>18.760000000000002</v>
      </c>
      <c r="D28" s="432">
        <v>-1.5600000000000023</v>
      </c>
      <c r="E28" s="400">
        <v>131.18</v>
      </c>
      <c r="F28" s="401">
        <v>98.43</v>
      </c>
    </row>
    <row r="29" spans="1:6">
      <c r="A29" s="404">
        <f t="shared" si="0"/>
        <v>6.0000000000000027</v>
      </c>
      <c r="B29" s="398">
        <v>10200</v>
      </c>
      <c r="C29" s="399">
        <v>18.87</v>
      </c>
      <c r="D29" s="432">
        <v>-1.2399999999999949</v>
      </c>
      <c r="E29" s="400">
        <v>133.38</v>
      </c>
      <c r="F29" s="401">
        <v>98.11</v>
      </c>
    </row>
    <row r="30" spans="1:6">
      <c r="A30" s="404">
        <f t="shared" si="0"/>
        <v>6.2000000000000028</v>
      </c>
      <c r="B30" s="398">
        <v>10579</v>
      </c>
      <c r="C30" s="399">
        <v>18.97</v>
      </c>
      <c r="D30" s="432">
        <v>-0.90999999999999659</v>
      </c>
      <c r="E30" s="400">
        <v>135.53</v>
      </c>
      <c r="F30" s="401">
        <v>97.78</v>
      </c>
    </row>
    <row r="31" spans="1:6">
      <c r="A31" s="404">
        <f t="shared" si="0"/>
        <v>6.400000000000003</v>
      </c>
      <c r="B31" s="398">
        <v>10959</v>
      </c>
      <c r="C31" s="399">
        <v>19.07</v>
      </c>
      <c r="D31" s="432">
        <v>-0.56999999999999318</v>
      </c>
      <c r="E31" s="400">
        <v>137.65</v>
      </c>
      <c r="F31" s="401">
        <v>97.44</v>
      </c>
    </row>
    <row r="32" spans="1:6">
      <c r="A32" s="404">
        <f t="shared" si="0"/>
        <v>6.6000000000000032</v>
      </c>
      <c r="B32" s="398">
        <v>11342</v>
      </c>
      <c r="C32" s="399">
        <v>19.18</v>
      </c>
      <c r="D32" s="432">
        <v>-0.78000000000000114</v>
      </c>
      <c r="E32" s="400">
        <v>139.74</v>
      </c>
      <c r="F32" s="401">
        <v>97.65</v>
      </c>
    </row>
    <row r="33" spans="1:14">
      <c r="A33" s="404">
        <f t="shared" si="0"/>
        <v>6.8000000000000034</v>
      </c>
      <c r="B33" s="398">
        <v>11726</v>
      </c>
      <c r="C33" s="399">
        <v>19.28</v>
      </c>
      <c r="D33" s="432">
        <v>0.53000000000000114</v>
      </c>
      <c r="E33" s="400">
        <v>141.80000000000001</v>
      </c>
      <c r="F33" s="401">
        <v>96.34</v>
      </c>
    </row>
    <row r="34" spans="1:14">
      <c r="A34" s="404">
        <f t="shared" si="0"/>
        <v>7.0000000000000036</v>
      </c>
      <c r="B34" s="398">
        <v>12113</v>
      </c>
      <c r="C34" s="399">
        <v>19.38</v>
      </c>
      <c r="D34" s="432">
        <v>0.57000000000000739</v>
      </c>
      <c r="E34" s="400">
        <v>143.74</v>
      </c>
      <c r="F34" s="401">
        <v>96.3</v>
      </c>
    </row>
    <row r="35" spans="1:14">
      <c r="A35" s="404">
        <f t="shared" si="0"/>
        <v>7.2000000000000037</v>
      </c>
      <c r="B35" s="398">
        <v>12501</v>
      </c>
      <c r="C35" s="399">
        <v>19.47</v>
      </c>
      <c r="D35" s="432">
        <v>0.96999999999999886</v>
      </c>
      <c r="E35" s="400">
        <v>145.5</v>
      </c>
      <c r="F35" s="401">
        <v>95.9</v>
      </c>
    </row>
    <row r="36" spans="1:14">
      <c r="A36" s="404">
        <f t="shared" si="0"/>
        <v>7.4000000000000039</v>
      </c>
      <c r="B36" s="398">
        <v>12891</v>
      </c>
      <c r="C36" s="399">
        <v>19.55</v>
      </c>
      <c r="D36" s="432">
        <v>1.5300000000000011</v>
      </c>
      <c r="E36" s="400">
        <v>147.19</v>
      </c>
      <c r="F36" s="401">
        <v>95.34</v>
      </c>
      <c r="N36" s="410"/>
    </row>
    <row r="37" spans="1:14">
      <c r="A37" s="404">
        <f t="shared" ref="A37:A55" si="1">A36+$B$1</f>
        <v>7.6000000000000041</v>
      </c>
      <c r="B37" s="398">
        <v>13283</v>
      </c>
      <c r="C37" s="399">
        <v>19.63</v>
      </c>
      <c r="D37" s="432">
        <v>2.5300000000000011</v>
      </c>
      <c r="E37" s="400">
        <v>148.97999999999999</v>
      </c>
      <c r="F37" s="401">
        <v>94.34</v>
      </c>
      <c r="N37" s="410"/>
    </row>
    <row r="38" spans="1:14">
      <c r="A38" s="404">
        <f t="shared" si="1"/>
        <v>7.8000000000000043</v>
      </c>
      <c r="B38" s="398">
        <v>13677</v>
      </c>
      <c r="C38" s="399">
        <v>19.72</v>
      </c>
      <c r="D38" s="432">
        <v>2.7600000000000051</v>
      </c>
      <c r="E38" s="400">
        <v>150.91999999999999</v>
      </c>
      <c r="F38" s="401">
        <v>94.11</v>
      </c>
      <c r="N38" s="410"/>
    </row>
    <row r="39" spans="1:14">
      <c r="A39" s="404">
        <f t="shared" si="1"/>
        <v>8.0000000000000036</v>
      </c>
      <c r="B39" s="398">
        <v>14072</v>
      </c>
      <c r="C39" s="399">
        <v>19.8</v>
      </c>
      <c r="D39" s="432">
        <v>2.9900000000000091</v>
      </c>
      <c r="E39" s="400">
        <v>152.82</v>
      </c>
      <c r="F39" s="401">
        <v>93.88</v>
      </c>
      <c r="N39" s="410"/>
    </row>
    <row r="40" spans="1:14">
      <c r="A40" s="404">
        <f t="shared" si="1"/>
        <v>8.2000000000000028</v>
      </c>
      <c r="B40" s="398">
        <v>14468</v>
      </c>
      <c r="C40" s="399">
        <v>19.88</v>
      </c>
      <c r="D40" s="432">
        <v>3.2199999999999989</v>
      </c>
      <c r="E40" s="400">
        <v>154.53</v>
      </c>
      <c r="F40" s="401">
        <v>93.65</v>
      </c>
      <c r="N40" s="410"/>
    </row>
    <row r="41" spans="1:14">
      <c r="A41" s="404">
        <f t="shared" si="1"/>
        <v>8.4000000000000021</v>
      </c>
      <c r="B41" s="398">
        <v>14867</v>
      </c>
      <c r="C41" s="399">
        <v>19.96</v>
      </c>
      <c r="D41" s="432">
        <v>3.4500000000000028</v>
      </c>
      <c r="E41" s="400">
        <v>156.05000000000001</v>
      </c>
      <c r="F41" s="401">
        <v>93.42</v>
      </c>
      <c r="N41" s="410"/>
    </row>
    <row r="42" spans="1:14">
      <c r="A42" s="404">
        <f t="shared" si="1"/>
        <v>8.6000000000000014</v>
      </c>
      <c r="B42" s="398">
        <v>15267</v>
      </c>
      <c r="C42" s="399">
        <v>20.03</v>
      </c>
      <c r="D42" s="432">
        <v>3.6800000000000068</v>
      </c>
      <c r="E42" s="400">
        <v>157.4</v>
      </c>
      <c r="F42" s="401">
        <v>93.19</v>
      </c>
      <c r="N42" s="410"/>
    </row>
    <row r="43" spans="1:14">
      <c r="A43" s="404">
        <f t="shared" si="1"/>
        <v>8.8000000000000007</v>
      </c>
      <c r="B43" s="398">
        <v>15668</v>
      </c>
      <c r="C43" s="399">
        <v>20.09</v>
      </c>
      <c r="D43" s="432">
        <v>3.9100000000000108</v>
      </c>
      <c r="E43" s="400">
        <v>158.63999999999999</v>
      </c>
      <c r="F43" s="401">
        <v>92.96</v>
      </c>
    </row>
    <row r="44" spans="1:14">
      <c r="A44" s="404">
        <f t="shared" si="1"/>
        <v>9</v>
      </c>
      <c r="B44" s="398">
        <v>16070</v>
      </c>
      <c r="C44" s="399">
        <v>20.14</v>
      </c>
      <c r="D44" s="432">
        <v>4.1400000000000006</v>
      </c>
      <c r="E44" s="400">
        <v>159.79</v>
      </c>
      <c r="F44" s="401">
        <v>92.73</v>
      </c>
    </row>
    <row r="45" spans="1:14">
      <c r="A45" s="404">
        <f t="shared" si="1"/>
        <v>9.1999999999999993</v>
      </c>
      <c r="B45" s="398">
        <v>16473</v>
      </c>
      <c r="C45" s="399">
        <v>20.190000000000001</v>
      </c>
      <c r="D45" s="432">
        <v>4.3700000000000045</v>
      </c>
      <c r="E45" s="400">
        <v>160.91</v>
      </c>
      <c r="F45" s="401">
        <v>92.5</v>
      </c>
    </row>
    <row r="46" spans="1:14">
      <c r="A46" s="404">
        <f t="shared" si="1"/>
        <v>9.3999999999999986</v>
      </c>
      <c r="B46" s="398">
        <v>16877</v>
      </c>
      <c r="C46" s="399">
        <v>20.239999999999998</v>
      </c>
      <c r="D46" s="432">
        <v>4.6000000000000085</v>
      </c>
      <c r="E46" s="400">
        <v>161.99</v>
      </c>
      <c r="F46" s="401">
        <v>92.27</v>
      </c>
      <c r="M46" s="410"/>
    </row>
    <row r="47" spans="1:14">
      <c r="A47" s="404">
        <f t="shared" si="1"/>
        <v>9.5999999999999979</v>
      </c>
      <c r="B47" s="398">
        <v>17283</v>
      </c>
      <c r="C47" s="399">
        <v>20.29</v>
      </c>
      <c r="D47" s="432">
        <v>4.8299999999999983</v>
      </c>
      <c r="E47" s="400">
        <v>163.07</v>
      </c>
      <c r="F47" s="401">
        <v>92.04</v>
      </c>
      <c r="M47" s="410"/>
    </row>
    <row r="48" spans="1:14">
      <c r="A48" s="404">
        <f t="shared" si="1"/>
        <v>9.7999999999999972</v>
      </c>
      <c r="B48" s="398">
        <v>17689</v>
      </c>
      <c r="C48" s="399">
        <v>20.34</v>
      </c>
      <c r="D48" s="432">
        <v>5.0600000000000023</v>
      </c>
      <c r="E48" s="400">
        <v>164.13</v>
      </c>
      <c r="F48" s="401">
        <v>91.81</v>
      </c>
      <c r="M48" s="410"/>
    </row>
    <row r="49" spans="1:13">
      <c r="A49" s="404">
        <f t="shared" si="1"/>
        <v>9.9999999999999964</v>
      </c>
      <c r="B49" s="398">
        <v>18096</v>
      </c>
      <c r="C49" s="399">
        <v>20.39</v>
      </c>
      <c r="D49" s="432">
        <v>5.2900000000000063</v>
      </c>
      <c r="E49" s="400">
        <v>165.19</v>
      </c>
      <c r="F49" s="401">
        <v>91.58</v>
      </c>
      <c r="M49" s="410"/>
    </row>
    <row r="50" spans="1:13">
      <c r="A50" s="404">
        <f t="shared" si="1"/>
        <v>10.199999999999996</v>
      </c>
      <c r="B50" s="398">
        <v>18504</v>
      </c>
      <c r="C50" s="399">
        <v>20.440000000000001</v>
      </c>
      <c r="D50" s="432">
        <v>5.5200000000000102</v>
      </c>
      <c r="E50" s="400">
        <v>166.25</v>
      </c>
      <c r="F50" s="401">
        <v>91.35</v>
      </c>
      <c r="M50" s="410"/>
    </row>
    <row r="51" spans="1:13">
      <c r="A51" s="404">
        <f t="shared" si="1"/>
        <v>10.399999999999995</v>
      </c>
      <c r="B51" s="398">
        <v>18914</v>
      </c>
      <c r="C51" s="399">
        <v>20.49</v>
      </c>
      <c r="D51" s="432">
        <v>5.75</v>
      </c>
      <c r="E51" s="400">
        <v>167.32</v>
      </c>
      <c r="F51" s="401">
        <v>91.12</v>
      </c>
      <c r="M51" s="410"/>
    </row>
    <row r="52" spans="1:13">
      <c r="A52" s="404">
        <f t="shared" si="1"/>
        <v>10.599999999999994</v>
      </c>
      <c r="B52" s="398">
        <v>19324</v>
      </c>
      <c r="C52" s="399">
        <v>20.54</v>
      </c>
      <c r="D52" s="432">
        <v>5.980000000000004</v>
      </c>
      <c r="E52" s="400">
        <v>168.4</v>
      </c>
      <c r="F52" s="401">
        <v>90.89</v>
      </c>
      <c r="M52" s="410"/>
    </row>
    <row r="53" spans="1:13">
      <c r="A53" s="404">
        <f t="shared" si="1"/>
        <v>10.799999999999994</v>
      </c>
      <c r="B53" s="398">
        <v>19714</v>
      </c>
      <c r="C53" s="399">
        <v>20.59</v>
      </c>
      <c r="D53" s="432">
        <v>6.210000000000008</v>
      </c>
      <c r="E53" s="400">
        <v>169.5</v>
      </c>
      <c r="F53" s="401">
        <v>90.66</v>
      </c>
      <c r="M53" s="410"/>
    </row>
    <row r="54" spans="1:13">
      <c r="A54" s="404">
        <f t="shared" si="1"/>
        <v>10.999999999999993</v>
      </c>
      <c r="B54" s="398">
        <v>20124</v>
      </c>
      <c r="C54" s="399">
        <v>20.64</v>
      </c>
      <c r="D54" s="432">
        <v>6.4399999999999977</v>
      </c>
      <c r="E54" s="400">
        <v>170.57499999999999</v>
      </c>
      <c r="F54" s="401">
        <v>90.43</v>
      </c>
      <c r="M54" s="410"/>
    </row>
    <row r="55" spans="1:13">
      <c r="A55" s="404">
        <f t="shared" si="1"/>
        <v>11.199999999999992</v>
      </c>
      <c r="B55" s="398">
        <v>20528</v>
      </c>
      <c r="C55" s="399">
        <v>20.69</v>
      </c>
      <c r="D55" s="432">
        <v>6.6700000000000017</v>
      </c>
      <c r="E55" s="400">
        <v>171.65799999999999</v>
      </c>
      <c r="F55" s="401">
        <v>90.2</v>
      </c>
      <c r="M55" s="410"/>
    </row>
    <row r="56" spans="1:13" ht="15" thickBot="1">
      <c r="A56" s="411">
        <v>11.25</v>
      </c>
      <c r="B56" s="412">
        <v>20987</v>
      </c>
      <c r="C56" s="413">
        <v>20.83</v>
      </c>
      <c r="D56" s="432">
        <v>6.9000000000000057</v>
      </c>
      <c r="E56" s="414">
        <v>173.76</v>
      </c>
      <c r="F56" s="401">
        <v>89.97</v>
      </c>
      <c r="M56" s="410"/>
    </row>
    <row r="58" spans="1:13">
      <c r="A58" s="415"/>
    </row>
  </sheetData>
  <pageMargins left="0.7" right="0.7" top="0.75" bottom="0.75" header="0.3" footer="0.3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AB95"/>
  <sheetViews>
    <sheetView workbookViewId="0">
      <selection activeCell="G1" sqref="G1"/>
    </sheetView>
  </sheetViews>
  <sheetFormatPr baseColWidth="10" defaultColWidth="11.453125" defaultRowHeight="14.5"/>
  <cols>
    <col min="1" max="4" width="4" style="2" customWidth="1"/>
    <col min="5" max="5" width="4.26953125" style="2" customWidth="1"/>
    <col min="6" max="6" width="6.1796875" style="2" customWidth="1"/>
    <col min="7" max="8" width="5.54296875" style="2" customWidth="1"/>
    <col min="9" max="9" width="5.453125" style="2" customWidth="1"/>
    <col min="10" max="10" width="3" style="2" customWidth="1"/>
    <col min="11" max="11" width="5.1796875" style="2" customWidth="1"/>
    <col min="12" max="12" width="5.453125" style="2" customWidth="1"/>
    <col min="13" max="13" width="5.81640625" style="2" customWidth="1"/>
    <col min="14" max="14" width="11.54296875" style="2" customWidth="1"/>
    <col min="15" max="16" width="5.26953125" style="2" customWidth="1"/>
    <col min="17" max="17" width="3.7265625" style="2" customWidth="1"/>
    <col min="18" max="18" width="4.453125" style="2" customWidth="1"/>
    <col min="19" max="19" width="5.7265625" style="2" customWidth="1"/>
    <col min="20" max="21" width="5.81640625" style="2" customWidth="1"/>
    <col min="22" max="22" width="12.08984375" style="2" customWidth="1"/>
    <col min="23" max="23" width="4.54296875" style="2" customWidth="1"/>
    <col min="24" max="24" width="3.7265625" style="2" customWidth="1"/>
    <col min="25" max="26" width="4.7265625" style="2" customWidth="1"/>
    <col min="27" max="16384" width="11.453125" style="2"/>
  </cols>
  <sheetData>
    <row r="1" spans="1:28" ht="9" customHeight="1"/>
    <row r="2" spans="1:28" ht="14.15" customHeight="1">
      <c r="R2" s="8"/>
      <c r="S2" s="8"/>
      <c r="T2" s="9"/>
      <c r="U2" s="10"/>
      <c r="V2" s="11"/>
      <c r="W2" s="11"/>
      <c r="X2" s="11"/>
      <c r="Z2" s="12"/>
      <c r="AA2" s="12"/>
    </row>
    <row r="3" spans="1:28" ht="14.15" customHeight="1" thickBot="1"/>
    <row r="4" spans="1:28" ht="14.15" customHeight="1">
      <c r="N4" s="594" t="s">
        <v>358</v>
      </c>
      <c r="O4" s="595"/>
      <c r="P4" s="595"/>
      <c r="Q4" s="596"/>
      <c r="R4" s="611" t="str">
        <f>Input!H7</f>
        <v>ARKLOW RAIDER</v>
      </c>
      <c r="S4" s="612"/>
      <c r="T4" s="612"/>
      <c r="U4" s="612"/>
      <c r="V4" s="612"/>
      <c r="W4" s="612"/>
      <c r="X4" s="613"/>
      <c r="Z4" s="13"/>
      <c r="AA4" s="13"/>
      <c r="AB4" s="13"/>
    </row>
    <row r="5" spans="1:28" ht="14.15" customHeight="1">
      <c r="N5" s="610" t="s">
        <v>17</v>
      </c>
      <c r="O5" s="609"/>
      <c r="P5" s="609"/>
      <c r="Q5" s="617"/>
      <c r="R5" s="618" t="str">
        <f>Input!H8</f>
        <v>PHOSPHATE</v>
      </c>
      <c r="S5" s="614"/>
      <c r="T5" s="614"/>
      <c r="U5" s="614"/>
      <c r="V5" s="614"/>
      <c r="W5" s="614"/>
      <c r="X5" s="615"/>
    </row>
    <row r="6" spans="1:28" ht="14.15" customHeight="1">
      <c r="N6" s="597" t="s">
        <v>359</v>
      </c>
      <c r="O6" s="593"/>
      <c r="P6" s="593"/>
      <c r="Q6" s="598"/>
      <c r="R6" s="678">
        <f>Input!H11</f>
        <v>4000</v>
      </c>
      <c r="S6" s="679"/>
      <c r="T6" s="602" t="str">
        <f>IF(R6="","","MT  Dated")</f>
        <v>MT  Dated</v>
      </c>
      <c r="U6" s="602"/>
      <c r="V6" s="603">
        <f>Input!H13</f>
        <v>44763</v>
      </c>
      <c r="W6" s="603"/>
      <c r="X6" s="616"/>
    </row>
    <row r="7" spans="1:28" ht="15" customHeight="1">
      <c r="N7" s="610" t="s">
        <v>360</v>
      </c>
      <c r="O7" s="609"/>
      <c r="P7" s="609"/>
      <c r="Q7" s="617"/>
      <c r="R7" s="618" t="str">
        <f>Input!H9</f>
        <v>CASABLANCA</v>
      </c>
      <c r="S7" s="614"/>
      <c r="T7" s="614"/>
      <c r="U7" s="614"/>
      <c r="V7" s="614"/>
      <c r="W7" s="614"/>
      <c r="X7" s="615"/>
    </row>
    <row r="8" spans="1:28" ht="14.15" customHeight="1" thickBot="1">
      <c r="N8" s="599" t="s">
        <v>361</v>
      </c>
      <c r="O8" s="600"/>
      <c r="P8" s="600"/>
      <c r="Q8" s="601"/>
      <c r="R8" s="604" t="str">
        <f>Input!H10</f>
        <v>GLOMFJORD</v>
      </c>
      <c r="S8" s="605"/>
      <c r="T8" s="605"/>
      <c r="U8" s="605"/>
      <c r="V8" s="605"/>
      <c r="W8" s="605"/>
      <c r="X8" s="606"/>
    </row>
    <row r="9" spans="1:28" ht="12.75" customHeight="1">
      <c r="E9" s="15"/>
    </row>
    <row r="10" spans="1:28" ht="21" customHeight="1">
      <c r="F10" s="16" t="s">
        <v>77</v>
      </c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X10" s="17"/>
    </row>
    <row r="11" spans="1:28" ht="17.25" customHeight="1"/>
    <row r="12" spans="1:28" s="8" customFormat="1" ht="16.5" customHeight="1">
      <c r="A12" s="18" t="s">
        <v>3</v>
      </c>
      <c r="B12" s="19"/>
      <c r="C12" s="19"/>
      <c r="D12" s="19"/>
      <c r="E12" s="20" t="s">
        <v>78</v>
      </c>
      <c r="F12" s="371" t="str">
        <f>Input!H5</f>
        <v>IRISH</v>
      </c>
      <c r="G12" s="371"/>
      <c r="H12" s="371"/>
      <c r="I12" s="371"/>
      <c r="J12" s="22"/>
      <c r="K12" s="19" t="s">
        <v>79</v>
      </c>
      <c r="L12" s="19"/>
      <c r="M12" s="20" t="s">
        <v>78</v>
      </c>
      <c r="N12" s="23">
        <f>Input!U15</f>
        <v>103.9</v>
      </c>
      <c r="O12" s="23"/>
      <c r="P12" s="21"/>
      <c r="Q12" s="22"/>
      <c r="R12" s="19" t="s">
        <v>44</v>
      </c>
      <c r="S12" s="19"/>
      <c r="T12" s="19"/>
      <c r="U12" s="20" t="s">
        <v>78</v>
      </c>
      <c r="V12" s="24">
        <f>Input!U21</f>
        <v>5</v>
      </c>
      <c r="W12" s="24"/>
      <c r="X12" s="25"/>
    </row>
    <row r="13" spans="1:28" s="8" customFormat="1" ht="16.5" customHeight="1">
      <c r="A13" s="26" t="s">
        <v>9</v>
      </c>
      <c r="B13" s="27"/>
      <c r="C13" s="27"/>
      <c r="D13" s="27"/>
      <c r="E13" s="28" t="s">
        <v>78</v>
      </c>
      <c r="F13" s="372" t="str">
        <f>Input!H6</f>
        <v>ARKLOW</v>
      </c>
      <c r="G13" s="372"/>
      <c r="H13" s="372"/>
      <c r="I13" s="372"/>
      <c r="K13" s="27" t="s">
        <v>80</v>
      </c>
      <c r="L13" s="27"/>
      <c r="M13" s="28" t="s">
        <v>78</v>
      </c>
      <c r="N13" s="30">
        <f>Input!U17</f>
        <v>199.89</v>
      </c>
      <c r="O13" s="30"/>
      <c r="P13" s="29"/>
      <c r="R13" s="27" t="s">
        <v>81</v>
      </c>
      <c r="S13" s="27"/>
      <c r="T13" s="27"/>
      <c r="U13" s="27"/>
      <c r="V13" s="31">
        <f>Input!U23</f>
        <v>22</v>
      </c>
      <c r="X13" s="32"/>
    </row>
    <row r="14" spans="1:28" s="8" customFormat="1" ht="16.5" customHeight="1">
      <c r="A14" s="26" t="s">
        <v>82</v>
      </c>
      <c r="B14" s="27"/>
      <c r="C14" s="27"/>
      <c r="D14" s="27"/>
      <c r="E14" s="28" t="s">
        <v>78</v>
      </c>
      <c r="F14" s="373">
        <f>Input!H15</f>
        <v>3212</v>
      </c>
      <c r="G14" s="373"/>
      <c r="H14" s="373"/>
      <c r="I14" s="373"/>
      <c r="J14" s="34"/>
      <c r="K14" s="27" t="s">
        <v>83</v>
      </c>
      <c r="L14" s="27"/>
      <c r="M14" s="28" t="s">
        <v>78</v>
      </c>
      <c r="N14" s="35">
        <f>Input!U19</f>
        <v>32.89</v>
      </c>
      <c r="O14" s="30"/>
      <c r="P14" s="29"/>
      <c r="R14" s="27" t="s">
        <v>84</v>
      </c>
      <c r="S14" s="27"/>
      <c r="T14" s="27"/>
      <c r="U14" s="36" t="s">
        <v>78</v>
      </c>
      <c r="V14" s="33">
        <f>Input!H19</f>
        <v>10.45</v>
      </c>
      <c r="W14" s="33"/>
      <c r="X14" s="37"/>
    </row>
    <row r="15" spans="1:28" s="8" customFormat="1" ht="16.5" customHeight="1">
      <c r="A15" s="26" t="s">
        <v>85</v>
      </c>
      <c r="B15" s="27"/>
      <c r="C15" s="27"/>
      <c r="D15" s="27"/>
      <c r="E15" s="28" t="s">
        <v>78</v>
      </c>
      <c r="F15" s="373">
        <f>Input!H17</f>
        <v>1234</v>
      </c>
      <c r="G15" s="373"/>
      <c r="H15" s="373"/>
      <c r="I15" s="373"/>
      <c r="J15" s="34"/>
      <c r="K15" s="27" t="s">
        <v>86</v>
      </c>
      <c r="L15" s="27"/>
      <c r="M15" s="28" t="s">
        <v>78</v>
      </c>
      <c r="N15" s="30">
        <f>Input!H25</f>
        <v>4786.09</v>
      </c>
      <c r="O15" s="30"/>
      <c r="P15" s="29"/>
      <c r="R15" s="27" t="s">
        <v>87</v>
      </c>
      <c r="S15" s="27"/>
      <c r="T15" s="27"/>
      <c r="U15" s="27"/>
      <c r="V15" s="33">
        <f>Input!H23</f>
        <v>5423.98</v>
      </c>
      <c r="W15" s="33"/>
      <c r="X15" s="37"/>
    </row>
    <row r="16" spans="1:28" ht="5.25" customHeight="1">
      <c r="A16" s="38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40"/>
    </row>
    <row r="17" spans="1:24" ht="5.25" customHeight="1">
      <c r="A17" s="41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42"/>
    </row>
    <row r="18" spans="1:24" s="8" customFormat="1" ht="16.5" customHeight="1">
      <c r="A18" s="43" t="s">
        <v>5</v>
      </c>
      <c r="B18" s="44"/>
      <c r="C18" s="44"/>
      <c r="D18" s="44"/>
      <c r="E18" s="44"/>
      <c r="F18" s="44"/>
      <c r="G18" s="45">
        <f>Input!U5</f>
        <v>44785</v>
      </c>
      <c r="H18" s="45"/>
      <c r="I18" s="46" t="s">
        <v>88</v>
      </c>
      <c r="J18" s="374">
        <f>Input!AA5</f>
        <v>0.5</v>
      </c>
      <c r="K18" s="45"/>
      <c r="N18" s="47" t="s">
        <v>15</v>
      </c>
      <c r="O18" s="44"/>
      <c r="P18" s="44"/>
      <c r="Q18" s="44"/>
      <c r="R18" s="44"/>
      <c r="S18" s="44"/>
      <c r="T18" s="45">
        <f>Input!U7</f>
        <v>44816</v>
      </c>
      <c r="U18" s="45"/>
      <c r="V18" s="46" t="s">
        <v>88</v>
      </c>
      <c r="W18" s="374">
        <f>Input!AA7</f>
        <v>0.5</v>
      </c>
      <c r="X18" s="48"/>
    </row>
    <row r="19" spans="1:24" s="8" customFormat="1" ht="16.5" customHeight="1">
      <c r="A19" s="49" t="s">
        <v>11</v>
      </c>
      <c r="B19" s="50"/>
      <c r="C19" s="50"/>
      <c r="D19" s="50"/>
      <c r="E19" s="50"/>
      <c r="F19" s="50"/>
      <c r="G19" s="51">
        <f>Input!U6</f>
        <v>44785</v>
      </c>
      <c r="H19" s="51"/>
      <c r="I19" s="52" t="s">
        <v>88</v>
      </c>
      <c r="J19" s="375">
        <f>Input!AA6</f>
        <v>0.5</v>
      </c>
      <c r="K19" s="51"/>
      <c r="N19" s="53" t="s">
        <v>19</v>
      </c>
      <c r="O19" s="50"/>
      <c r="P19" s="50"/>
      <c r="Q19" s="50"/>
      <c r="R19" s="50"/>
      <c r="S19" s="50"/>
      <c r="T19" s="51">
        <f>Input!U8</f>
        <v>44816</v>
      </c>
      <c r="U19" s="51"/>
      <c r="V19" s="52" t="s">
        <v>88</v>
      </c>
      <c r="W19" s="375">
        <f>Input!AA8</f>
        <v>0.5</v>
      </c>
      <c r="X19" s="54"/>
    </row>
    <row r="20" spans="1:24" s="8" customFormat="1" ht="16.5" customHeight="1">
      <c r="A20" s="55" t="str">
        <f>[1]Données!M10</f>
        <v>Loading Commenced on</v>
      </c>
      <c r="B20" s="31"/>
      <c r="C20" s="31"/>
      <c r="D20" s="31"/>
      <c r="E20" s="31"/>
      <c r="F20" s="31"/>
      <c r="G20" s="51">
        <f>Input!U9</f>
        <v>44632</v>
      </c>
      <c r="H20" s="51"/>
      <c r="I20" s="52" t="s">
        <v>88</v>
      </c>
      <c r="J20" s="375">
        <f>Input!AA9</f>
        <v>0.5</v>
      </c>
      <c r="K20" s="51"/>
      <c r="N20" s="31" t="str">
        <f>[1]Données!M14</f>
        <v>Final Survey commenced on</v>
      </c>
      <c r="O20" s="50"/>
      <c r="P20" s="50"/>
      <c r="Q20" s="50"/>
      <c r="R20" s="50"/>
      <c r="S20" s="50"/>
      <c r="T20" s="51">
        <f>Input!U11</f>
        <v>44816</v>
      </c>
      <c r="U20" s="51"/>
      <c r="V20" s="52" t="s">
        <v>88</v>
      </c>
      <c r="W20" s="375">
        <f>Input!AA11</f>
        <v>0.5</v>
      </c>
      <c r="X20" s="54"/>
    </row>
    <row r="21" spans="1:24" s="8" customFormat="1" ht="16.5" customHeight="1">
      <c r="A21" s="55" t="str">
        <f>[1]Données!M12</f>
        <v>Loading completed on</v>
      </c>
      <c r="B21" s="50"/>
      <c r="C21" s="50"/>
      <c r="D21" s="50"/>
      <c r="E21" s="50"/>
      <c r="F21" s="50"/>
      <c r="G21" s="51">
        <f>Input!U10</f>
        <v>44816</v>
      </c>
      <c r="H21" s="51"/>
      <c r="I21" s="52" t="s">
        <v>88</v>
      </c>
      <c r="J21" s="375">
        <f>Input!AA10</f>
        <v>0.5</v>
      </c>
      <c r="K21" s="51"/>
      <c r="N21" s="31" t="str">
        <f>[1]Données!M16</f>
        <v>Final Survey completed on</v>
      </c>
      <c r="O21" s="50"/>
      <c r="P21" s="50"/>
      <c r="Q21" s="50"/>
      <c r="R21" s="50"/>
      <c r="S21" s="50"/>
      <c r="T21" s="51">
        <f>Input!U13</f>
        <v>44816</v>
      </c>
      <c r="U21" s="51"/>
      <c r="V21" s="52" t="s">
        <v>88</v>
      </c>
      <c r="W21" s="375">
        <f>Input!AA13</f>
        <v>0.5</v>
      </c>
      <c r="X21" s="54"/>
    </row>
    <row r="22" spans="1:24" ht="6" customHeight="1">
      <c r="A22" s="56"/>
      <c r="B22" s="57"/>
      <c r="C22" s="57"/>
      <c r="D22" s="57"/>
      <c r="E22" s="57"/>
      <c r="F22" s="58"/>
      <c r="G22" s="59"/>
      <c r="H22" s="59"/>
      <c r="I22" s="60"/>
      <c r="J22" s="59"/>
      <c r="K22" s="59"/>
      <c r="L22" s="58"/>
      <c r="M22" s="58"/>
      <c r="N22" s="57"/>
      <c r="O22" s="57"/>
      <c r="P22" s="57"/>
      <c r="Q22" s="57"/>
      <c r="R22" s="57"/>
      <c r="S22" s="59"/>
      <c r="T22" s="59"/>
      <c r="U22" s="60"/>
      <c r="V22" s="59"/>
      <c r="W22" s="59"/>
      <c r="X22" s="61"/>
    </row>
    <row r="23" spans="1:24" ht="4.5" customHeight="1" thickBot="1">
      <c r="A23" s="62"/>
      <c r="B23" s="62"/>
      <c r="C23" s="62"/>
      <c r="D23" s="62"/>
      <c r="E23" s="62"/>
      <c r="G23" s="63"/>
      <c r="H23" s="63"/>
      <c r="I23" s="64"/>
      <c r="J23" s="63"/>
      <c r="K23" s="63"/>
      <c r="N23" s="62"/>
      <c r="O23" s="62"/>
      <c r="P23" s="62"/>
      <c r="Q23" s="62"/>
      <c r="R23" s="62"/>
      <c r="S23" s="63"/>
      <c r="T23" s="63"/>
      <c r="U23" s="64"/>
      <c r="V23" s="63"/>
      <c r="W23" s="63"/>
    </row>
    <row r="24" spans="1:24" ht="16.5" customHeight="1" thickBot="1">
      <c r="A24" s="65" t="s">
        <v>89</v>
      </c>
      <c r="B24" s="66"/>
      <c r="C24" s="66"/>
      <c r="D24" s="66"/>
      <c r="E24" s="66"/>
      <c r="F24" s="66"/>
      <c r="G24" s="66"/>
      <c r="H24" s="66"/>
      <c r="I24" s="66"/>
      <c r="J24" s="67"/>
      <c r="K24" s="68" t="s">
        <v>90</v>
      </c>
      <c r="L24" s="69" t="s">
        <v>1</v>
      </c>
      <c r="M24" s="69"/>
      <c r="N24" s="69"/>
      <c r="O24" s="69"/>
      <c r="P24" s="69"/>
      <c r="Q24" s="70"/>
      <c r="R24" s="71" t="s">
        <v>2</v>
      </c>
      <c r="S24" s="69"/>
      <c r="T24" s="69"/>
      <c r="U24" s="69"/>
      <c r="V24" s="69"/>
      <c r="W24" s="69"/>
      <c r="X24" s="72"/>
    </row>
    <row r="25" spans="1:24" ht="16.5" customHeight="1">
      <c r="A25" s="73" t="s">
        <v>91</v>
      </c>
      <c r="B25" s="74"/>
      <c r="C25" s="74"/>
      <c r="D25" s="74"/>
      <c r="E25" s="74"/>
      <c r="F25" s="75"/>
      <c r="G25" s="76"/>
      <c r="H25" s="76"/>
      <c r="I25" s="77" t="s">
        <v>92</v>
      </c>
      <c r="J25" s="78"/>
      <c r="K25" s="79" t="s">
        <v>93</v>
      </c>
      <c r="L25" s="80"/>
      <c r="M25" s="81">
        <f>Input!AP5</f>
        <v>5.54</v>
      </c>
      <c r="N25" s="81"/>
      <c r="O25" s="82"/>
      <c r="P25" s="80"/>
      <c r="Q25" s="83"/>
      <c r="R25" s="84"/>
      <c r="S25" s="80"/>
      <c r="T25" s="81">
        <f>Input!AT5</f>
        <v>2.36</v>
      </c>
      <c r="U25" s="81"/>
      <c r="V25" s="82"/>
      <c r="W25" s="80"/>
      <c r="X25" s="85"/>
    </row>
    <row r="26" spans="1:24" ht="16.5" customHeight="1">
      <c r="A26" s="86"/>
      <c r="B26" s="87"/>
      <c r="C26" s="87"/>
      <c r="D26" s="87"/>
      <c r="E26" s="87"/>
      <c r="F26" s="88"/>
      <c r="G26" s="27"/>
      <c r="H26" s="27"/>
      <c r="I26" s="28" t="s">
        <v>94</v>
      </c>
      <c r="J26" s="89"/>
      <c r="K26" s="90" t="s">
        <v>93</v>
      </c>
      <c r="L26" s="29"/>
      <c r="M26" s="91">
        <f>Input!AP6</f>
        <v>5.52</v>
      </c>
      <c r="N26" s="91"/>
      <c r="O26" s="92"/>
      <c r="P26" s="29"/>
      <c r="Q26" s="32"/>
      <c r="R26" s="93"/>
      <c r="S26" s="29"/>
      <c r="T26" s="91">
        <f>Input!AT6</f>
        <v>2.36</v>
      </c>
      <c r="U26" s="91"/>
      <c r="V26" s="92"/>
      <c r="W26" s="29"/>
      <c r="X26" s="94"/>
    </row>
    <row r="27" spans="1:24" ht="16.5" customHeight="1">
      <c r="A27" s="86"/>
      <c r="B27" s="87"/>
      <c r="C27" s="87"/>
      <c r="D27" s="87"/>
      <c r="E27" s="87"/>
      <c r="F27" s="88"/>
      <c r="G27" s="27"/>
      <c r="H27" s="27"/>
      <c r="I27" s="28" t="s">
        <v>95</v>
      </c>
      <c r="J27" s="95"/>
      <c r="K27" s="96" t="s">
        <v>93</v>
      </c>
      <c r="L27" s="97"/>
      <c r="M27" s="91">
        <f>(M25+M26)/2</f>
        <v>5.5299999999999994</v>
      </c>
      <c r="N27" s="91"/>
      <c r="O27" s="99"/>
      <c r="P27" s="97"/>
      <c r="Q27" s="100"/>
      <c r="R27" s="101"/>
      <c r="S27" s="97"/>
      <c r="T27" s="91">
        <f>(T26+T25)/2</f>
        <v>2.36</v>
      </c>
      <c r="U27" s="91"/>
      <c r="V27" s="99"/>
      <c r="W27" s="97"/>
      <c r="X27" s="102"/>
    </row>
    <row r="28" spans="1:24" ht="16.5" customHeight="1">
      <c r="A28" s="86"/>
      <c r="B28" s="87"/>
      <c r="C28" s="87"/>
      <c r="D28" s="87"/>
      <c r="E28" s="87"/>
      <c r="F28" s="88"/>
      <c r="G28" s="27"/>
      <c r="H28" s="27"/>
      <c r="I28" s="28" t="s">
        <v>96</v>
      </c>
      <c r="J28" s="89"/>
      <c r="K28" s="90" t="s">
        <v>93</v>
      </c>
      <c r="L28" s="29"/>
      <c r="M28" s="91">
        <f>Details!I18</f>
        <v>-6.9164265129683161E-3</v>
      </c>
      <c r="N28" s="91"/>
      <c r="O28" s="92"/>
      <c r="P28" s="29"/>
      <c r="Q28" s="32"/>
      <c r="R28" s="93"/>
      <c r="S28" s="29"/>
      <c r="T28" s="91">
        <f>Input!AT11</f>
        <v>-1.6</v>
      </c>
      <c r="U28" s="91"/>
      <c r="V28" s="92"/>
      <c r="W28" s="29"/>
      <c r="X28" s="94"/>
    </row>
    <row r="29" spans="1:24" ht="16.5" customHeight="1">
      <c r="A29" s="103"/>
      <c r="B29" s="104"/>
      <c r="C29" s="104"/>
      <c r="D29" s="104"/>
      <c r="E29" s="104"/>
      <c r="F29" s="105"/>
      <c r="G29" s="106"/>
      <c r="H29" s="106"/>
      <c r="I29" s="107" t="s">
        <v>97</v>
      </c>
      <c r="J29" s="108"/>
      <c r="K29" s="109" t="s">
        <v>93</v>
      </c>
      <c r="L29" s="110"/>
      <c r="M29" s="433">
        <f>(M26+Details!I18)-Input!AP17</f>
        <v>5.5130835734870312</v>
      </c>
      <c r="N29" s="433"/>
      <c r="O29" s="111"/>
      <c r="P29" s="110"/>
      <c r="Q29" s="112"/>
      <c r="R29" s="113"/>
      <c r="S29" s="110"/>
      <c r="T29" s="433">
        <f>T27+Details!M18-Input!AT17</f>
        <v>2.3343499511241443</v>
      </c>
      <c r="U29" s="433"/>
      <c r="V29" s="111"/>
      <c r="W29" s="110"/>
      <c r="X29" s="114"/>
    </row>
    <row r="30" spans="1:24" ht="16.5" customHeight="1">
      <c r="A30" s="115" t="s">
        <v>98</v>
      </c>
      <c r="B30" s="116"/>
      <c r="C30" s="116"/>
      <c r="D30" s="116"/>
      <c r="E30" s="116"/>
      <c r="F30" s="117"/>
      <c r="G30" s="19"/>
      <c r="H30" s="19"/>
      <c r="I30" s="20" t="s">
        <v>92</v>
      </c>
      <c r="J30" s="19"/>
      <c r="K30" s="118" t="s">
        <v>93</v>
      </c>
      <c r="L30" s="21"/>
      <c r="M30" s="119">
        <f>Input!AP9</f>
        <v>5.98</v>
      </c>
      <c r="N30" s="119"/>
      <c r="O30" s="120"/>
      <c r="P30" s="21"/>
      <c r="Q30" s="21"/>
      <c r="R30" s="121"/>
      <c r="S30" s="21"/>
      <c r="T30" s="119">
        <f>Input!AT9</f>
        <v>4</v>
      </c>
      <c r="U30" s="119"/>
      <c r="V30" s="120"/>
      <c r="W30" s="21"/>
      <c r="X30" s="122"/>
    </row>
    <row r="31" spans="1:24" ht="16.5" customHeight="1">
      <c r="A31" s="86"/>
      <c r="B31" s="87"/>
      <c r="C31" s="87"/>
      <c r="D31" s="87"/>
      <c r="E31" s="87"/>
      <c r="F31" s="88"/>
      <c r="G31" s="27"/>
      <c r="H31" s="27"/>
      <c r="I31" s="28" t="s">
        <v>94</v>
      </c>
      <c r="J31" s="27"/>
      <c r="K31" s="90" t="s">
        <v>93</v>
      </c>
      <c r="L31" s="29"/>
      <c r="M31" s="91">
        <f>Input!AP10</f>
        <v>5.98</v>
      </c>
      <c r="N31" s="91"/>
      <c r="O31" s="92"/>
      <c r="P31" s="29"/>
      <c r="Q31" s="29"/>
      <c r="R31" s="93"/>
      <c r="S31" s="29"/>
      <c r="T31" s="91">
        <f>Input!AT10</f>
        <v>4</v>
      </c>
      <c r="U31" s="91"/>
      <c r="V31" s="92"/>
      <c r="W31" s="29"/>
      <c r="X31" s="94"/>
    </row>
    <row r="32" spans="1:24" ht="16.5" customHeight="1">
      <c r="A32" s="86"/>
      <c r="B32" s="87"/>
      <c r="C32" s="87"/>
      <c r="D32" s="87"/>
      <c r="E32" s="87"/>
      <c r="F32" s="88"/>
      <c r="G32" s="27"/>
      <c r="H32" s="27"/>
      <c r="I32" s="28" t="s">
        <v>95</v>
      </c>
      <c r="J32" s="27"/>
      <c r="K32" s="90" t="s">
        <v>93</v>
      </c>
      <c r="L32" s="29"/>
      <c r="M32" s="91">
        <f>(M30+M31)/2</f>
        <v>5.98</v>
      </c>
      <c r="N32" s="91"/>
      <c r="O32" s="92"/>
      <c r="P32" s="29"/>
      <c r="Q32" s="29"/>
      <c r="R32" s="93"/>
      <c r="S32" s="29"/>
      <c r="T32" s="91">
        <f>(T30+T31)/2</f>
        <v>4</v>
      </c>
      <c r="U32" s="91"/>
      <c r="V32" s="92"/>
      <c r="W32" s="29"/>
      <c r="X32" s="94"/>
    </row>
    <row r="33" spans="1:24" ht="16.5" customHeight="1">
      <c r="A33" s="86"/>
      <c r="B33" s="87"/>
      <c r="C33" s="87"/>
      <c r="D33" s="87"/>
      <c r="E33" s="87"/>
      <c r="F33" s="88"/>
      <c r="G33" s="27"/>
      <c r="H33" s="27"/>
      <c r="I33" s="28" t="s">
        <v>96</v>
      </c>
      <c r="J33" s="27"/>
      <c r="K33" s="90" t="s">
        <v>93</v>
      </c>
      <c r="L33" s="29"/>
      <c r="M33" s="91">
        <f>Details!I20</f>
        <v>-7.7809798270893548E-3</v>
      </c>
      <c r="N33" s="91"/>
      <c r="O33" s="92"/>
      <c r="P33" s="29"/>
      <c r="Q33" s="29"/>
      <c r="R33" s="93"/>
      <c r="S33" s="29"/>
      <c r="T33" s="91">
        <f>Input!AT15</f>
        <v>0</v>
      </c>
      <c r="U33" s="91"/>
      <c r="V33" s="92"/>
      <c r="W33" s="29"/>
      <c r="X33" s="94"/>
    </row>
    <row r="34" spans="1:24" ht="16.5" customHeight="1">
      <c r="A34" s="103"/>
      <c r="B34" s="104"/>
      <c r="C34" s="104"/>
      <c r="D34" s="104"/>
      <c r="E34" s="104"/>
      <c r="F34" s="105"/>
      <c r="G34" s="106"/>
      <c r="H34" s="106"/>
      <c r="I34" s="107" t="s">
        <v>99</v>
      </c>
      <c r="J34" s="106"/>
      <c r="K34" s="109" t="s">
        <v>93</v>
      </c>
      <c r="L34" s="110"/>
      <c r="M34" s="433">
        <f>(M32+Details!I20)-Input!AP21</f>
        <v>5.9722190201729113</v>
      </c>
      <c r="N34" s="433"/>
      <c r="O34" s="111"/>
      <c r="P34" s="110"/>
      <c r="Q34" s="110"/>
      <c r="R34" s="113"/>
      <c r="S34" s="110"/>
      <c r="T34" s="433">
        <f>T32+Details!M20-Input!AT21</f>
        <v>4</v>
      </c>
      <c r="U34" s="433"/>
      <c r="V34" s="111"/>
      <c r="W34" s="110"/>
      <c r="X34" s="114"/>
    </row>
    <row r="35" spans="1:24" ht="16.5" customHeight="1">
      <c r="A35" s="115" t="s">
        <v>100</v>
      </c>
      <c r="B35" s="116"/>
      <c r="C35" s="116"/>
      <c r="D35" s="116"/>
      <c r="E35" s="116"/>
      <c r="F35" s="117"/>
      <c r="G35" s="19"/>
      <c r="H35" s="19"/>
      <c r="I35" s="20" t="s">
        <v>92</v>
      </c>
      <c r="J35" s="123"/>
      <c r="K35" s="118" t="s">
        <v>93</v>
      </c>
      <c r="L35" s="21"/>
      <c r="M35" s="119">
        <f>Input!AP7</f>
        <v>5.76</v>
      </c>
      <c r="N35" s="119"/>
      <c r="O35" s="120"/>
      <c r="P35" s="21"/>
      <c r="Q35" s="25"/>
      <c r="R35" s="121"/>
      <c r="S35" s="21"/>
      <c r="T35" s="119">
        <f>Input!AT7</f>
        <v>3.23</v>
      </c>
      <c r="U35" s="119"/>
      <c r="V35" s="120"/>
      <c r="W35" s="21"/>
      <c r="X35" s="122"/>
    </row>
    <row r="36" spans="1:24" ht="16.5" customHeight="1">
      <c r="A36" s="86"/>
      <c r="B36" s="87"/>
      <c r="C36" s="87"/>
      <c r="D36" s="87"/>
      <c r="E36" s="87"/>
      <c r="F36" s="88"/>
      <c r="G36" s="27"/>
      <c r="H36" s="27"/>
      <c r="I36" s="28" t="s">
        <v>94</v>
      </c>
      <c r="J36" s="89"/>
      <c r="K36" s="90" t="s">
        <v>93</v>
      </c>
      <c r="L36" s="29"/>
      <c r="M36" s="91">
        <f>Input!AP8</f>
        <v>5.78</v>
      </c>
      <c r="N36" s="91"/>
      <c r="O36" s="92"/>
      <c r="P36" s="29"/>
      <c r="Q36" s="32"/>
      <c r="R36" s="93"/>
      <c r="S36" s="29"/>
      <c r="T36" s="91">
        <f>Input!AT8</f>
        <v>3.2</v>
      </c>
      <c r="U36" s="91"/>
      <c r="V36" s="92"/>
      <c r="W36" s="29"/>
      <c r="X36" s="94"/>
    </row>
    <row r="37" spans="1:24" ht="16.5" customHeight="1">
      <c r="A37" s="86"/>
      <c r="B37" s="87"/>
      <c r="C37" s="87"/>
      <c r="D37" s="87"/>
      <c r="E37" s="87"/>
      <c r="F37" s="88"/>
      <c r="G37" s="27"/>
      <c r="H37" s="27"/>
      <c r="I37" s="28" t="s">
        <v>95</v>
      </c>
      <c r="J37" s="89"/>
      <c r="K37" s="90" t="s">
        <v>93</v>
      </c>
      <c r="L37" s="29"/>
      <c r="M37" s="91">
        <f>(M35+M36)/2</f>
        <v>5.77</v>
      </c>
      <c r="N37" s="91"/>
      <c r="O37" s="92"/>
      <c r="P37" s="29"/>
      <c r="Q37" s="32"/>
      <c r="R37" s="93"/>
      <c r="S37" s="29"/>
      <c r="T37" s="91">
        <f>(T35+T36)/2</f>
        <v>3.2149999999999999</v>
      </c>
      <c r="U37" s="91"/>
      <c r="V37" s="92"/>
      <c r="W37" s="29"/>
      <c r="X37" s="94"/>
    </row>
    <row r="38" spans="1:24" ht="16.5" customHeight="1">
      <c r="A38" s="86"/>
      <c r="B38" s="87"/>
      <c r="C38" s="87"/>
      <c r="D38" s="87"/>
      <c r="E38" s="87"/>
      <c r="F38" s="88"/>
      <c r="G38" s="27"/>
      <c r="H38" s="27"/>
      <c r="I38" s="124" t="s">
        <v>101</v>
      </c>
      <c r="J38" s="89"/>
      <c r="K38" s="90" t="s">
        <v>93</v>
      </c>
      <c r="L38" s="29"/>
      <c r="M38" s="91">
        <f>Details!I19</f>
        <v>0</v>
      </c>
      <c r="N38" s="91"/>
      <c r="O38" s="92"/>
      <c r="P38" s="29"/>
      <c r="Q38" s="32"/>
      <c r="R38" s="93"/>
      <c r="S38" s="29"/>
      <c r="T38" s="91">
        <f>Input!AT13</f>
        <v>-1.65</v>
      </c>
      <c r="U38" s="91"/>
      <c r="V38" s="92"/>
      <c r="W38" s="29"/>
      <c r="X38" s="94"/>
    </row>
    <row r="39" spans="1:24" ht="16.5" customHeight="1">
      <c r="A39" s="103"/>
      <c r="B39" s="104"/>
      <c r="C39" s="104"/>
      <c r="D39" s="104"/>
      <c r="E39" s="104"/>
      <c r="F39" s="105"/>
      <c r="G39" s="106"/>
      <c r="H39" s="106"/>
      <c r="I39" s="125" t="s">
        <v>102</v>
      </c>
      <c r="J39" s="108"/>
      <c r="K39" s="109" t="s">
        <v>93</v>
      </c>
      <c r="L39" s="110"/>
      <c r="M39" s="433">
        <f>(M37+Details!I19)-Input!AP19</f>
        <v>5.77</v>
      </c>
      <c r="N39" s="433"/>
      <c r="O39" s="111"/>
      <c r="P39" s="110"/>
      <c r="Q39" s="112"/>
      <c r="R39" s="113"/>
      <c r="S39" s="110"/>
      <c r="T39" s="433">
        <f>T37+Details!M19-Input!AT19</f>
        <v>3.1885483870967741</v>
      </c>
      <c r="U39" s="433"/>
      <c r="V39" s="111"/>
      <c r="W39" s="110"/>
      <c r="X39" s="114"/>
    </row>
    <row r="40" spans="1:24" ht="16.5" customHeight="1">
      <c r="A40" s="126"/>
      <c r="B40" s="127"/>
      <c r="C40" s="127"/>
      <c r="D40" s="127"/>
      <c r="E40" s="127"/>
      <c r="F40" s="127"/>
      <c r="G40" s="127"/>
      <c r="H40" s="127"/>
      <c r="I40" s="128" t="s">
        <v>103</v>
      </c>
      <c r="J40" s="127"/>
      <c r="K40" s="96" t="s">
        <v>93</v>
      </c>
      <c r="L40" s="97"/>
      <c r="M40" s="98">
        <f>(M34+M29)/2</f>
        <v>5.7426512968299708</v>
      </c>
      <c r="N40" s="98"/>
      <c r="O40" s="97"/>
      <c r="P40" s="97"/>
      <c r="Q40" s="100"/>
      <c r="R40" s="101"/>
      <c r="S40" s="97"/>
      <c r="T40" s="98">
        <f>(T34+T29)/2</f>
        <v>3.1671749755620722</v>
      </c>
      <c r="U40" s="98"/>
      <c r="V40" s="97"/>
      <c r="W40" s="97"/>
      <c r="X40" s="102"/>
    </row>
    <row r="41" spans="1:24" ht="16.5" customHeight="1">
      <c r="A41" s="129"/>
      <c r="B41" s="27"/>
      <c r="C41" s="27"/>
      <c r="D41" s="27"/>
      <c r="E41" s="27"/>
      <c r="F41" s="27"/>
      <c r="G41" s="27"/>
      <c r="H41" s="27"/>
      <c r="I41" s="130" t="s">
        <v>104</v>
      </c>
      <c r="J41" s="27"/>
      <c r="K41" s="90" t="s">
        <v>93</v>
      </c>
      <c r="L41" s="29"/>
      <c r="M41" s="91">
        <f>(M40+M39)/2</f>
        <v>5.7563256484149852</v>
      </c>
      <c r="N41" s="91"/>
      <c r="O41" s="29"/>
      <c r="P41" s="29"/>
      <c r="Q41" s="32"/>
      <c r="R41" s="93"/>
      <c r="S41" s="29"/>
      <c r="T41" s="91">
        <f>(T40+T39)/2</f>
        <v>3.1778616813294231</v>
      </c>
      <c r="U41" s="91"/>
      <c r="V41" s="29"/>
      <c r="W41" s="29"/>
      <c r="X41" s="94"/>
    </row>
    <row r="42" spans="1:24" ht="16.5" customHeight="1">
      <c r="A42" s="131"/>
      <c r="B42" s="132"/>
      <c r="C42" s="132"/>
      <c r="D42" s="132"/>
      <c r="E42" s="132"/>
      <c r="F42" s="132"/>
      <c r="G42" s="106"/>
      <c r="H42" s="106"/>
      <c r="I42" s="133" t="s">
        <v>105</v>
      </c>
      <c r="J42" s="106"/>
      <c r="K42" s="109" t="s">
        <v>106</v>
      </c>
      <c r="L42" s="110"/>
      <c r="M42" s="433">
        <f>ROUND((M41+M39)/2,3)</f>
        <v>5.7629999999999999</v>
      </c>
      <c r="N42" s="433"/>
      <c r="O42" s="111"/>
      <c r="P42" s="110"/>
      <c r="Q42" s="112"/>
      <c r="R42" s="113"/>
      <c r="S42" s="110"/>
      <c r="T42" s="433">
        <f>(T41+T39)/2</f>
        <v>3.1832050342130986</v>
      </c>
      <c r="U42" s="433"/>
      <c r="V42" s="111"/>
      <c r="W42" s="110"/>
      <c r="X42" s="114"/>
    </row>
    <row r="43" spans="1:24" ht="16.5" customHeight="1">
      <c r="A43" s="134"/>
      <c r="B43" s="135"/>
      <c r="C43" s="135"/>
      <c r="D43" s="127"/>
      <c r="E43" s="127"/>
      <c r="F43" s="127"/>
      <c r="G43" s="127"/>
      <c r="H43" s="127"/>
      <c r="I43" s="128" t="s">
        <v>107</v>
      </c>
      <c r="J43" s="95"/>
      <c r="K43" s="96" t="s">
        <v>106</v>
      </c>
      <c r="L43" s="507">
        <f>HydroTable!I4</f>
        <v>9754.81</v>
      </c>
      <c r="M43" s="508"/>
      <c r="N43" s="508"/>
      <c r="O43" s="514"/>
      <c r="P43" s="97"/>
      <c r="Q43" s="100"/>
      <c r="R43" s="680">
        <f>HydroTable!O4</f>
        <v>5071.4399999999996</v>
      </c>
      <c r="S43" s="681"/>
      <c r="T43" s="681"/>
      <c r="U43" s="681"/>
      <c r="V43" s="97"/>
      <c r="W43" s="97"/>
      <c r="X43" s="102"/>
    </row>
    <row r="44" spans="1:24" ht="16.5" customHeight="1">
      <c r="A44" s="136"/>
      <c r="B44" s="137"/>
      <c r="C44" s="137"/>
      <c r="D44" s="27"/>
      <c r="E44" s="27"/>
      <c r="F44" s="27"/>
      <c r="G44" s="27"/>
      <c r="H44" s="27"/>
      <c r="I44" s="130" t="s">
        <v>108</v>
      </c>
      <c r="J44" s="89"/>
      <c r="K44" s="90" t="s">
        <v>106</v>
      </c>
      <c r="L44" s="510">
        <f>Details!I37</f>
        <v>-12.326909015474564</v>
      </c>
      <c r="M44" s="509"/>
      <c r="N44" s="509"/>
      <c r="O44" s="29"/>
      <c r="P44" s="29"/>
      <c r="Q44" s="32"/>
      <c r="R44" s="510">
        <f>Details!M37</f>
        <v>-370.31721510249605</v>
      </c>
      <c r="S44" s="509"/>
      <c r="T44" s="509"/>
      <c r="U44" s="509"/>
      <c r="V44" s="29"/>
      <c r="W44" s="29"/>
      <c r="X44" s="94"/>
    </row>
    <row r="45" spans="1:24" ht="16.5" customHeight="1">
      <c r="A45" s="136"/>
      <c r="B45" s="137"/>
      <c r="C45" s="137"/>
      <c r="D45" s="27"/>
      <c r="E45" s="27"/>
      <c r="F45" s="27"/>
      <c r="G45" s="27"/>
      <c r="H45" s="27"/>
      <c r="I45" s="130" t="s">
        <v>109</v>
      </c>
      <c r="J45" s="89"/>
      <c r="K45" s="90" t="s">
        <v>106</v>
      </c>
      <c r="L45" s="511">
        <f>L43+L44</f>
        <v>9742.4830909845241</v>
      </c>
      <c r="M45" s="373"/>
      <c r="N45" s="373"/>
      <c r="O45" s="29"/>
      <c r="P45" s="29"/>
      <c r="Q45" s="32"/>
      <c r="R45" s="510">
        <f>R43+R44</f>
        <v>4701.1227848975032</v>
      </c>
      <c r="S45" s="509"/>
      <c r="T45" s="509"/>
      <c r="U45" s="509"/>
      <c r="V45" s="29"/>
      <c r="W45" s="29"/>
      <c r="X45" s="94"/>
    </row>
    <row r="46" spans="1:24" ht="16.5" customHeight="1">
      <c r="A46" s="136"/>
      <c r="B46" s="137"/>
      <c r="C46" s="137"/>
      <c r="D46" s="27"/>
      <c r="E46" s="27"/>
      <c r="F46" s="27"/>
      <c r="G46" s="27"/>
      <c r="H46" s="27"/>
      <c r="I46" s="130" t="s">
        <v>110</v>
      </c>
      <c r="J46" s="89"/>
      <c r="K46" s="90" t="s">
        <v>111</v>
      </c>
      <c r="L46" s="511">
        <f>Input!AP40</f>
        <v>1.0229999999999999</v>
      </c>
      <c r="M46" s="373"/>
      <c r="N46" s="373"/>
      <c r="O46" s="138"/>
      <c r="P46" s="29"/>
      <c r="Q46" s="32"/>
      <c r="R46" s="510">
        <f>Input!AT40</f>
        <v>1.0249999999999999</v>
      </c>
      <c r="S46" s="509"/>
      <c r="T46" s="509"/>
      <c r="U46" s="509"/>
      <c r="V46" s="138"/>
      <c r="W46" s="29"/>
      <c r="X46" s="94"/>
    </row>
    <row r="47" spans="1:24" ht="16.5" customHeight="1">
      <c r="A47" s="136"/>
      <c r="B47" s="137"/>
      <c r="C47" s="137"/>
      <c r="D47" s="27"/>
      <c r="E47" s="27"/>
      <c r="F47" s="27"/>
      <c r="G47" s="27"/>
      <c r="H47" s="27"/>
      <c r="I47" s="130" t="s">
        <v>112</v>
      </c>
      <c r="J47" s="89"/>
      <c r="K47" s="90" t="s">
        <v>106</v>
      </c>
      <c r="L47" s="511">
        <f>IF(L46="","",ROUND(L45*L46/Input!AP39,3))</f>
        <v>9723.473</v>
      </c>
      <c r="M47" s="373"/>
      <c r="N47" s="373"/>
      <c r="O47" s="29"/>
      <c r="P47" s="29"/>
      <c r="Q47" s="32"/>
      <c r="R47" s="510">
        <f>IF(R46="","",ROUND(R45*L46/Input!AT39,3))</f>
        <v>4691.95</v>
      </c>
      <c r="S47" s="509"/>
      <c r="T47" s="509"/>
      <c r="U47" s="509"/>
      <c r="V47" s="29"/>
      <c r="W47" s="29"/>
      <c r="X47" s="94"/>
    </row>
    <row r="48" spans="1:24" ht="16.5" customHeight="1">
      <c r="A48" s="136"/>
      <c r="B48" s="137"/>
      <c r="C48" s="137"/>
      <c r="D48" s="27"/>
      <c r="E48" s="27"/>
      <c r="F48" s="27"/>
      <c r="G48" s="27"/>
      <c r="H48" s="27"/>
      <c r="I48" s="130" t="s">
        <v>113</v>
      </c>
      <c r="J48" s="89"/>
      <c r="K48" s="90" t="s">
        <v>106</v>
      </c>
      <c r="L48" s="511">
        <f>SUM(Input!AP27:AS37)</f>
        <v>710.94600000000003</v>
      </c>
      <c r="M48" s="373"/>
      <c r="N48" s="373"/>
      <c r="O48" s="29"/>
      <c r="P48" s="29"/>
      <c r="Q48" s="32"/>
      <c r="R48" s="510">
        <f>SUM(Input!AT27:AW37)</f>
        <v>1492.184</v>
      </c>
      <c r="S48" s="509"/>
      <c r="T48" s="509"/>
      <c r="U48" s="509"/>
      <c r="V48" s="139"/>
      <c r="W48" s="29"/>
      <c r="X48" s="94"/>
    </row>
    <row r="49" spans="1:24" ht="16.5" customHeight="1" thickBot="1">
      <c r="A49" s="140"/>
      <c r="B49" s="141"/>
      <c r="C49" s="141"/>
      <c r="D49" s="142"/>
      <c r="E49" s="142"/>
      <c r="F49" s="142"/>
      <c r="G49" s="142"/>
      <c r="H49" s="142"/>
      <c r="I49" s="143" t="s">
        <v>114</v>
      </c>
      <c r="J49" s="144"/>
      <c r="K49" s="145" t="s">
        <v>106</v>
      </c>
      <c r="L49" s="513">
        <f>IF(L47="","",+L47-L48)</f>
        <v>9012.527</v>
      </c>
      <c r="M49" s="512"/>
      <c r="N49" s="512"/>
      <c r="O49" s="146"/>
      <c r="P49" s="146"/>
      <c r="Q49" s="147"/>
      <c r="R49" s="513">
        <f>IF(R47="","",+R47-R48)</f>
        <v>3199.7659999999996</v>
      </c>
      <c r="S49" s="512"/>
      <c r="T49" s="512"/>
      <c r="U49" s="512"/>
      <c r="V49" s="148"/>
      <c r="W49" s="146"/>
      <c r="X49" s="149"/>
    </row>
    <row r="50" spans="1:24" ht="9.75" customHeight="1" thickBot="1">
      <c r="L50" s="150"/>
      <c r="M50" s="150"/>
      <c r="N50" s="150"/>
      <c r="O50" s="150"/>
      <c r="P50" s="150"/>
      <c r="Q50" s="150"/>
      <c r="R50" s="150"/>
      <c r="S50" s="150"/>
      <c r="T50" s="150"/>
      <c r="U50" s="150"/>
      <c r="V50" s="150"/>
      <c r="W50" s="150"/>
      <c r="X50" s="150"/>
    </row>
    <row r="51" spans="1:24" ht="12.75" customHeight="1">
      <c r="A51" s="151"/>
      <c r="B51" s="152"/>
      <c r="C51" s="153" t="str">
        <f>IF(O51="","Total Cargo Un/loaded",IF(L49-R49&lt;0,"Total Cargo Loaded on Board","Total Cargo Discharged"))</f>
        <v>Total Cargo Discharged</v>
      </c>
      <c r="D51" s="153"/>
      <c r="E51" s="153"/>
      <c r="F51" s="153"/>
      <c r="G51" s="153"/>
      <c r="H51" s="153"/>
      <c r="I51" s="153"/>
      <c r="J51" s="154"/>
      <c r="L51" s="150"/>
      <c r="M51" s="150"/>
      <c r="N51" s="150"/>
      <c r="O51" s="515">
        <f>R49-L49</f>
        <v>-5812.7610000000004</v>
      </c>
      <c r="P51" s="516"/>
      <c r="Q51" s="516"/>
      <c r="R51" s="516"/>
      <c r="S51" s="155" t="str">
        <f>IF(O51="","","MT")</f>
        <v>MT</v>
      </c>
      <c r="T51" s="156"/>
      <c r="U51" s="157"/>
      <c r="V51" s="150"/>
      <c r="W51" s="150"/>
      <c r="X51" s="150"/>
    </row>
    <row r="52" spans="1:24" ht="9" customHeight="1" thickBot="1">
      <c r="A52" s="158"/>
      <c r="B52" s="58"/>
      <c r="C52" s="159"/>
      <c r="D52" s="159"/>
      <c r="E52" s="159"/>
      <c r="F52" s="159"/>
      <c r="G52" s="159"/>
      <c r="H52" s="159"/>
      <c r="I52" s="159"/>
      <c r="J52" s="61"/>
      <c r="L52" s="150"/>
      <c r="M52" s="150"/>
      <c r="N52" s="150"/>
      <c r="O52" s="517"/>
      <c r="P52" s="518"/>
      <c r="Q52" s="518"/>
      <c r="R52" s="518"/>
      <c r="S52" s="160"/>
      <c r="T52" s="156"/>
      <c r="U52" s="150"/>
      <c r="V52" s="150"/>
      <c r="W52" s="150"/>
      <c r="X52" s="150"/>
    </row>
    <row r="53" spans="1:24" ht="9" customHeight="1">
      <c r="C53" s="161"/>
      <c r="D53" s="161"/>
      <c r="E53" s="161"/>
      <c r="F53" s="161"/>
      <c r="G53" s="161"/>
      <c r="H53" s="161"/>
      <c r="I53" s="161"/>
    </row>
    <row r="54" spans="1:24" ht="11.25" customHeight="1">
      <c r="A54" s="162" t="s">
        <v>115</v>
      </c>
      <c r="B54" s="162"/>
      <c r="C54" s="162"/>
      <c r="D54" s="162"/>
      <c r="E54" s="162"/>
      <c r="F54" s="162"/>
      <c r="G54" s="162"/>
      <c r="H54" s="162"/>
      <c r="I54" s="162"/>
      <c r="J54" s="162"/>
      <c r="K54" s="162"/>
      <c r="L54" s="162"/>
      <c r="M54" s="162"/>
      <c r="N54" s="162"/>
      <c r="O54" s="162"/>
      <c r="P54" s="162"/>
      <c r="Q54" s="162"/>
      <c r="R54" s="162"/>
      <c r="S54" s="162"/>
      <c r="T54" s="162"/>
      <c r="U54" s="162"/>
      <c r="V54" s="162"/>
      <c r="W54" s="162"/>
      <c r="X54" s="162"/>
    </row>
    <row r="55" spans="1:24" ht="13.5" customHeight="1">
      <c r="A55" s="162"/>
      <c r="B55" s="162"/>
      <c r="C55" s="162"/>
      <c r="D55" s="162"/>
      <c r="E55" s="162"/>
      <c r="F55" s="162"/>
      <c r="G55" s="162"/>
      <c r="H55" s="162"/>
      <c r="I55" s="162"/>
      <c r="J55" s="162"/>
      <c r="K55" s="162"/>
      <c r="L55" s="162"/>
      <c r="M55" s="162"/>
      <c r="N55" s="162"/>
      <c r="O55" s="162"/>
      <c r="P55" s="162"/>
      <c r="Q55" s="162"/>
      <c r="R55" s="162"/>
      <c r="S55" s="162"/>
      <c r="T55" s="162"/>
      <c r="U55" s="162"/>
      <c r="V55" s="162"/>
      <c r="W55" s="162"/>
      <c r="X55" s="162"/>
    </row>
    <row r="56" spans="1:24" ht="5.25" customHeight="1">
      <c r="A56" s="162"/>
      <c r="B56" s="162"/>
      <c r="C56" s="162"/>
      <c r="D56" s="162"/>
      <c r="E56" s="162"/>
      <c r="F56" s="162"/>
      <c r="G56" s="162"/>
      <c r="H56" s="162"/>
      <c r="I56" s="162"/>
      <c r="J56" s="162"/>
      <c r="K56" s="162"/>
      <c r="L56" s="162"/>
      <c r="M56" s="162"/>
      <c r="N56" s="162"/>
      <c r="O56" s="162"/>
      <c r="P56" s="162"/>
      <c r="Q56" s="162"/>
      <c r="R56" s="162"/>
      <c r="S56" s="162"/>
      <c r="T56" s="162"/>
      <c r="U56" s="162"/>
      <c r="V56" s="162"/>
      <c r="W56" s="162"/>
      <c r="X56" s="162"/>
    </row>
    <row r="57" spans="1:24">
      <c r="A57" s="163" t="s">
        <v>116</v>
      </c>
      <c r="B57" s="164"/>
      <c r="C57" s="152"/>
      <c r="D57" s="152"/>
      <c r="E57" s="22"/>
      <c r="F57" s="22"/>
      <c r="G57" s="22"/>
      <c r="H57" s="22"/>
      <c r="I57" s="152"/>
      <c r="J57" s="152"/>
      <c r="K57" s="152"/>
      <c r="L57" s="152"/>
      <c r="M57" s="152"/>
      <c r="N57" s="152"/>
      <c r="O57" s="152"/>
      <c r="P57" s="152"/>
      <c r="Q57" s="152"/>
      <c r="R57" s="152"/>
      <c r="S57" s="152"/>
      <c r="T57" s="152"/>
      <c r="U57" s="152"/>
      <c r="V57" s="152"/>
      <c r="W57" s="152"/>
      <c r="X57" s="154"/>
    </row>
    <row r="58" spans="1:24" ht="16.5" customHeight="1">
      <c r="A58" s="165" t="str">
        <f>IF([1]Données!B190="","",[1]Données!B190)</f>
        <v/>
      </c>
      <c r="B58" s="166"/>
      <c r="C58" s="166"/>
      <c r="D58" s="166"/>
      <c r="E58" s="166"/>
      <c r="F58" s="166"/>
      <c r="G58" s="166"/>
      <c r="H58" s="166"/>
      <c r="I58" s="166"/>
      <c r="J58" s="166"/>
      <c r="K58" s="166"/>
      <c r="L58" s="166"/>
      <c r="M58" s="166"/>
      <c r="N58" s="166"/>
      <c r="O58" s="166"/>
      <c r="P58" s="166"/>
      <c r="Q58" s="166"/>
      <c r="R58" s="166"/>
      <c r="S58" s="166"/>
      <c r="T58" s="166"/>
      <c r="U58" s="166"/>
      <c r="V58" s="166"/>
      <c r="W58" s="166"/>
      <c r="X58" s="167"/>
    </row>
    <row r="59" spans="1:24" ht="16.5" customHeight="1">
      <c r="A59" s="165" t="str">
        <f>IF([1]Données!B191="","",[1]Données!B191)</f>
        <v/>
      </c>
      <c r="B59" s="166"/>
      <c r="C59" s="166"/>
      <c r="D59" s="166"/>
      <c r="E59" s="166"/>
      <c r="F59" s="166"/>
      <c r="G59" s="166"/>
      <c r="H59" s="166"/>
      <c r="I59" s="166"/>
      <c r="J59" s="166"/>
      <c r="K59" s="166"/>
      <c r="L59" s="166"/>
      <c r="M59" s="166"/>
      <c r="N59" s="166"/>
      <c r="O59" s="166"/>
      <c r="P59" s="166"/>
      <c r="Q59" s="166"/>
      <c r="R59" s="166"/>
      <c r="S59" s="166"/>
      <c r="T59" s="166"/>
      <c r="U59" s="166"/>
      <c r="V59" s="166"/>
      <c r="W59" s="166"/>
      <c r="X59" s="167"/>
    </row>
    <row r="60" spans="1:24" ht="16.5" customHeight="1">
      <c r="A60" s="168" t="str">
        <f>IF([1]Données!B192="","",[1]Données!B192)</f>
        <v/>
      </c>
      <c r="B60" s="169"/>
      <c r="C60" s="169"/>
      <c r="D60" s="169"/>
      <c r="E60" s="169"/>
      <c r="F60" s="169"/>
      <c r="G60" s="169"/>
      <c r="H60" s="169"/>
      <c r="I60" s="169"/>
      <c r="J60" s="169"/>
      <c r="K60" s="169"/>
      <c r="L60" s="169"/>
      <c r="M60" s="169"/>
      <c r="N60" s="169"/>
      <c r="O60" s="169"/>
      <c r="P60" s="169"/>
      <c r="Q60" s="169"/>
      <c r="R60" s="169"/>
      <c r="S60" s="169"/>
      <c r="T60" s="169"/>
      <c r="U60" s="169"/>
      <c r="V60" s="169"/>
      <c r="W60" s="169"/>
      <c r="X60" s="170"/>
    </row>
    <row r="61" spans="1:24" ht="16.5" customHeight="1">
      <c r="A61" s="166"/>
      <c r="B61" s="166"/>
      <c r="C61" s="166"/>
      <c r="D61" s="166"/>
      <c r="E61" s="166"/>
      <c r="F61" s="166"/>
      <c r="G61" s="166"/>
      <c r="H61" s="166"/>
      <c r="I61" s="166"/>
      <c r="J61" s="166"/>
      <c r="K61" s="166"/>
      <c r="L61" s="166"/>
      <c r="M61" s="166"/>
      <c r="N61" s="166"/>
      <c r="O61" s="166"/>
      <c r="P61" s="166"/>
      <c r="Q61" s="166"/>
      <c r="R61" s="166"/>
      <c r="S61" s="166"/>
      <c r="T61" s="166"/>
      <c r="U61" s="166"/>
      <c r="V61" s="166"/>
      <c r="W61" s="166"/>
      <c r="X61" s="166"/>
    </row>
    <row r="62" spans="1:24" s="171" customFormat="1" ht="13.5" customHeight="1">
      <c r="D62" s="172" t="s">
        <v>117</v>
      </c>
      <c r="F62" s="173"/>
      <c r="G62" s="173"/>
      <c r="H62" s="174"/>
      <c r="I62" s="174"/>
      <c r="J62" s="174"/>
      <c r="K62" s="174"/>
      <c r="L62" s="174"/>
      <c r="M62" s="174"/>
      <c r="N62" s="174"/>
      <c r="O62" s="174"/>
      <c r="P62" s="174"/>
      <c r="Q62" s="174"/>
      <c r="R62" s="174"/>
      <c r="T62" s="172" t="s">
        <v>118</v>
      </c>
    </row>
    <row r="63" spans="1:24" s="171" customFormat="1" ht="12.75" customHeight="1">
      <c r="M63" s="171" t="s">
        <v>119</v>
      </c>
    </row>
    <row r="64" spans="1:24" s="175" customFormat="1" ht="12.75" customHeight="1"/>
    <row r="65" spans="1:24" s="175" customFormat="1" ht="12.75" customHeight="1"/>
    <row r="66" spans="1:24" s="175" customFormat="1" ht="12.75" customHeight="1"/>
    <row r="67" spans="1:24" s="171" customFormat="1" ht="14.25" customHeight="1"/>
    <row r="68" spans="1:24" ht="11.25" customHeight="1">
      <c r="A68" s="176" t="s">
        <v>120</v>
      </c>
      <c r="E68" s="177"/>
      <c r="F68" s="177"/>
      <c r="G68" s="173"/>
      <c r="H68" s="173"/>
    </row>
    <row r="69" spans="1:24" ht="11.25" customHeight="1">
      <c r="A69" s="176"/>
      <c r="E69" s="177"/>
      <c r="F69" s="177"/>
      <c r="G69" s="173"/>
      <c r="H69" s="173"/>
    </row>
    <row r="70" spans="1:24" ht="9.75" customHeight="1">
      <c r="A70" s="178"/>
      <c r="B70" s="178"/>
      <c r="C70" s="178"/>
      <c r="D70" s="178"/>
      <c r="E70" s="178"/>
      <c r="F70" s="178"/>
      <c r="G70" s="179" t="s">
        <v>121</v>
      </c>
      <c r="H70" s="178" t="s">
        <v>122</v>
      </c>
      <c r="J70" s="178"/>
      <c r="L70" s="179"/>
      <c r="M70" s="178"/>
      <c r="P70" s="180"/>
      <c r="Q70" s="178"/>
      <c r="R70" s="178"/>
      <c r="S70" s="178"/>
      <c r="T70" s="178"/>
      <c r="U70" s="178"/>
      <c r="V70" s="178"/>
      <c r="W70" s="178"/>
      <c r="X70" s="178"/>
    </row>
    <row r="71" spans="1:24" ht="8.25" customHeight="1">
      <c r="A71" s="178"/>
      <c r="B71" s="178"/>
      <c r="C71" s="178"/>
      <c r="G71" s="181"/>
      <c r="H71" s="181"/>
      <c r="I71" s="178"/>
      <c r="M71" s="180"/>
      <c r="P71" s="178"/>
      <c r="Q71" s="178"/>
      <c r="R71" s="178"/>
      <c r="S71" s="178"/>
      <c r="T71" s="178"/>
      <c r="U71" s="178"/>
      <c r="V71" s="178"/>
      <c r="W71" s="178"/>
      <c r="X71" s="178"/>
    </row>
    <row r="72" spans="1:24" ht="9.75" customHeight="1">
      <c r="A72" s="178"/>
      <c r="B72" s="178"/>
      <c r="C72" s="178"/>
      <c r="D72" s="178"/>
      <c r="E72" s="178"/>
      <c r="F72" s="178"/>
      <c r="G72" s="178"/>
      <c r="H72" s="178"/>
      <c r="I72" s="182"/>
      <c r="J72" s="181"/>
      <c r="K72" s="181"/>
      <c r="L72" s="183"/>
      <c r="M72" s="183"/>
      <c r="N72" s="183"/>
      <c r="O72" s="178"/>
      <c r="P72" s="178"/>
      <c r="Q72" s="178"/>
      <c r="R72" s="178"/>
      <c r="S72" s="178"/>
      <c r="T72" s="178"/>
      <c r="U72" s="178"/>
      <c r="W72" s="184"/>
      <c r="X72" s="178"/>
    </row>
    <row r="95" ht="12.75" customHeight="1"/>
  </sheetData>
  <mergeCells count="2">
    <mergeCell ref="R6:S6"/>
    <mergeCell ref="R43:U43"/>
  </mergeCells>
  <pageMargins left="0.7" right="0.7" top="0.75" bottom="0.75" header="0.3" footer="0.3"/>
  <pageSetup paperSize="9" scale="68" orientation="portrait" r:id="rId1"/>
  <headerFooter alignWithMargins="0"/>
  <colBreaks count="1" manualBreakCount="1">
    <brk id="26" max="1048575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X72"/>
  <sheetViews>
    <sheetView workbookViewId="0">
      <selection activeCell="B17" sqref="B17"/>
    </sheetView>
  </sheetViews>
  <sheetFormatPr baseColWidth="10" defaultColWidth="11.453125" defaultRowHeight="14.5"/>
  <cols>
    <col min="1" max="3" width="4.1796875" style="150" customWidth="1"/>
    <col min="4" max="5" width="4.7265625" style="150" customWidth="1"/>
    <col min="6" max="7" width="5.453125" style="150" customWidth="1"/>
    <col min="8" max="9" width="4.7265625" style="150" customWidth="1"/>
    <col min="10" max="11" width="5.453125" style="150" customWidth="1"/>
    <col min="12" max="14" width="4.1796875" style="150" customWidth="1"/>
    <col min="15" max="16" width="4.7265625" style="150" customWidth="1"/>
    <col min="17" max="18" width="5.453125" style="150" customWidth="1"/>
    <col min="19" max="20" width="4.7265625" style="150" customWidth="1"/>
    <col min="21" max="22" width="5.453125" style="150" customWidth="1"/>
    <col min="23" max="23" width="2.7265625" style="150" customWidth="1"/>
    <col min="24" max="62" width="4.453125" style="150" customWidth="1"/>
    <col min="63" max="16384" width="11.453125" style="150"/>
  </cols>
  <sheetData>
    <row r="1" spans="1:23">
      <c r="A1" s="185"/>
      <c r="B1" s="185"/>
      <c r="C1" s="185"/>
      <c r="D1" s="185"/>
      <c r="E1" s="185"/>
      <c r="F1" s="185"/>
      <c r="G1" s="185"/>
      <c r="H1" s="185"/>
      <c r="I1" s="185"/>
      <c r="J1" s="185"/>
      <c r="K1" s="185"/>
      <c r="L1" s="185"/>
      <c r="M1" s="185"/>
      <c r="N1" s="185"/>
      <c r="O1" s="185"/>
      <c r="P1" s="185"/>
      <c r="Q1" s="185"/>
      <c r="R1" s="185"/>
      <c r="S1" s="185"/>
      <c r="T1" s="185"/>
      <c r="U1" s="185"/>
      <c r="V1" s="185"/>
      <c r="W1" s="185"/>
    </row>
    <row r="2" spans="1:23">
      <c r="A2" s="185"/>
      <c r="B2" s="185"/>
      <c r="C2" s="185"/>
      <c r="D2" s="185"/>
      <c r="E2" s="185"/>
      <c r="F2" s="185"/>
      <c r="G2" s="185"/>
      <c r="H2" s="185"/>
      <c r="I2" s="185"/>
      <c r="J2" s="185"/>
      <c r="K2" s="185"/>
      <c r="L2" s="185"/>
      <c r="M2" s="185"/>
      <c r="N2" s="185"/>
      <c r="O2" s="185"/>
      <c r="P2" s="186"/>
      <c r="Q2" s="186"/>
      <c r="R2" s="186"/>
      <c r="S2" s="186"/>
      <c r="T2" s="187"/>
      <c r="U2" s="188"/>
      <c r="V2" s="188"/>
      <c r="W2" s="189"/>
    </row>
    <row r="3" spans="1:23" ht="15" thickBot="1">
      <c r="A3" s="185"/>
      <c r="B3" s="185"/>
      <c r="C3" s="185"/>
      <c r="D3" s="185"/>
      <c r="E3" s="185"/>
      <c r="F3" s="185"/>
      <c r="G3" s="185"/>
      <c r="H3" s="185"/>
      <c r="I3" s="185"/>
      <c r="J3" s="185"/>
      <c r="K3" s="185"/>
      <c r="L3" s="185"/>
      <c r="M3" s="185"/>
      <c r="N3" s="185"/>
      <c r="O3" s="185"/>
      <c r="P3" s="185"/>
      <c r="Q3" s="185"/>
      <c r="R3" s="185"/>
      <c r="S3" s="185"/>
      <c r="T3" s="185"/>
      <c r="U3" s="185"/>
      <c r="V3" s="185"/>
      <c r="W3" s="185"/>
    </row>
    <row r="4" spans="1:23" ht="13.5" customHeight="1">
      <c r="A4" s="185"/>
      <c r="B4" s="185"/>
      <c r="C4" s="185"/>
      <c r="D4" s="185"/>
      <c r="E4" s="185"/>
      <c r="F4" s="185"/>
      <c r="G4" s="185"/>
      <c r="H4" s="185"/>
      <c r="I4" s="185"/>
      <c r="J4" s="185"/>
      <c r="K4" s="607" t="s">
        <v>358</v>
      </c>
      <c r="L4" s="608"/>
      <c r="M4" s="608"/>
      <c r="N4" s="619"/>
      <c r="O4" s="620" t="str">
        <f>Input!H7</f>
        <v>ARKLOW RAIDER</v>
      </c>
      <c r="P4" s="621"/>
      <c r="Q4" s="621"/>
      <c r="R4" s="621"/>
      <c r="S4" s="621"/>
      <c r="T4" s="621"/>
      <c r="U4" s="621"/>
      <c r="V4" s="622"/>
      <c r="W4" s="185"/>
    </row>
    <row r="5" spans="1:23" ht="13.5" customHeight="1">
      <c r="A5" s="185"/>
      <c r="B5" s="185"/>
      <c r="C5" s="185"/>
      <c r="D5" s="185"/>
      <c r="E5" s="185"/>
      <c r="F5" s="185"/>
      <c r="G5" s="185"/>
      <c r="H5" s="185"/>
      <c r="I5" s="185"/>
      <c r="J5" s="185"/>
      <c r="K5" s="597" t="s">
        <v>17</v>
      </c>
      <c r="L5" s="593"/>
      <c r="M5" s="593"/>
      <c r="N5" s="598"/>
      <c r="O5" s="623" t="str">
        <f>Input!H8</f>
        <v>PHOSPHATE</v>
      </c>
      <c r="P5" s="190"/>
      <c r="Q5" s="190"/>
      <c r="R5" s="190"/>
      <c r="S5" s="190"/>
      <c r="T5" s="190"/>
      <c r="U5" s="190"/>
      <c r="V5" s="624"/>
      <c r="W5" s="185"/>
    </row>
    <row r="6" spans="1:23" ht="13.5" customHeight="1">
      <c r="A6" s="185"/>
      <c r="B6" s="185"/>
      <c r="C6" s="185"/>
      <c r="D6" s="185"/>
      <c r="E6" s="185"/>
      <c r="F6" s="185"/>
      <c r="G6" s="185"/>
      <c r="H6" s="185"/>
      <c r="I6" s="185"/>
      <c r="J6" s="185"/>
      <c r="K6" s="610" t="s">
        <v>359</v>
      </c>
      <c r="L6" s="609"/>
      <c r="M6" s="609"/>
      <c r="N6" s="617"/>
      <c r="O6" s="625">
        <f>Input!H11</f>
        <v>4000</v>
      </c>
      <c r="P6" s="192"/>
      <c r="Q6" s="190"/>
      <c r="R6" s="192" t="str">
        <f>IF(O6="","","MT  Dated")</f>
        <v>MT  Dated</v>
      </c>
      <c r="S6" s="192"/>
      <c r="T6" s="193">
        <f>Input!H13</f>
        <v>44763</v>
      </c>
      <c r="U6" s="193"/>
      <c r="V6" s="626"/>
      <c r="W6" s="185"/>
    </row>
    <row r="7" spans="1:23" ht="13.5" customHeight="1">
      <c r="A7" s="185"/>
      <c r="B7" s="185"/>
      <c r="C7" s="185"/>
      <c r="D7" s="185"/>
      <c r="E7" s="185"/>
      <c r="F7" s="185"/>
      <c r="G7" s="194"/>
      <c r="H7" s="185"/>
      <c r="I7" s="185"/>
      <c r="J7" s="195"/>
      <c r="K7" s="610" t="s">
        <v>360</v>
      </c>
      <c r="L7" s="609"/>
      <c r="M7" s="609"/>
      <c r="N7" s="617"/>
      <c r="O7" s="623" t="str">
        <f>Input!H9</f>
        <v>CASABLANCA</v>
      </c>
      <c r="P7" s="190"/>
      <c r="Q7" s="190"/>
      <c r="R7" s="190"/>
      <c r="S7" s="190"/>
      <c r="T7" s="190"/>
      <c r="U7" s="190"/>
      <c r="V7" s="624"/>
      <c r="W7" s="185"/>
    </row>
    <row r="8" spans="1:23" ht="13.5" customHeight="1" thickBot="1">
      <c r="A8" s="185"/>
      <c r="B8" s="185"/>
      <c r="C8" s="185"/>
      <c r="D8" s="185"/>
      <c r="E8" s="185"/>
      <c r="F8" s="185"/>
      <c r="G8" s="194"/>
      <c r="H8" s="185"/>
      <c r="I8" s="185"/>
      <c r="J8" s="195"/>
      <c r="K8" s="599" t="s">
        <v>361</v>
      </c>
      <c r="L8" s="600"/>
      <c r="M8" s="600"/>
      <c r="N8" s="601"/>
      <c r="O8" s="627" t="str">
        <f>Input!H10</f>
        <v>GLOMFJORD</v>
      </c>
      <c r="P8" s="242"/>
      <c r="Q8" s="242"/>
      <c r="R8" s="242"/>
      <c r="S8" s="242"/>
      <c r="T8" s="242"/>
      <c r="U8" s="242"/>
      <c r="V8" s="628"/>
      <c r="W8" s="185"/>
    </row>
    <row r="9" spans="1:23" ht="12" customHeight="1">
      <c r="A9" s="185"/>
      <c r="B9" s="185"/>
      <c r="C9" s="185"/>
      <c r="D9" s="185"/>
      <c r="E9" s="185"/>
      <c r="F9" s="185"/>
      <c r="G9" s="194"/>
      <c r="H9" s="185"/>
      <c r="I9" s="185"/>
      <c r="J9" s="195"/>
      <c r="K9" s="195"/>
      <c r="L9" s="195"/>
      <c r="M9" s="185"/>
      <c r="N9" s="185"/>
      <c r="O9" s="185"/>
      <c r="P9" s="185"/>
      <c r="Q9" s="185"/>
      <c r="R9" s="185"/>
      <c r="S9" s="185"/>
      <c r="T9" s="185"/>
      <c r="U9" s="185"/>
      <c r="V9" s="185"/>
      <c r="W9" s="185"/>
    </row>
    <row r="10" spans="1:23" ht="19.5" customHeight="1">
      <c r="A10" s="185"/>
      <c r="B10" s="185"/>
      <c r="C10" s="185"/>
      <c r="D10" s="185"/>
      <c r="E10" s="185"/>
      <c r="F10" s="185"/>
      <c r="G10" s="185"/>
      <c r="H10" s="196" t="s">
        <v>123</v>
      </c>
      <c r="I10" s="196"/>
      <c r="J10" s="196"/>
      <c r="K10" s="196"/>
      <c r="L10" s="196"/>
      <c r="M10" s="196"/>
      <c r="N10" s="196"/>
      <c r="O10" s="196"/>
      <c r="P10" s="196"/>
      <c r="Q10" s="185"/>
      <c r="R10" s="185"/>
      <c r="S10" s="185"/>
      <c r="T10" s="185"/>
      <c r="U10" s="185"/>
      <c r="V10" s="197" t="s">
        <v>124</v>
      </c>
      <c r="W10" s="185"/>
    </row>
    <row r="11" spans="1:23" ht="17.25" customHeight="1">
      <c r="A11" s="198"/>
      <c r="B11" s="185"/>
      <c r="C11" s="185"/>
      <c r="D11" s="185"/>
      <c r="E11" s="185"/>
      <c r="F11" s="185"/>
      <c r="G11" s="185"/>
      <c r="H11" s="199" t="s">
        <v>125</v>
      </c>
      <c r="I11" s="199"/>
      <c r="J11" s="199"/>
      <c r="K11" s="199"/>
      <c r="L11" s="199"/>
      <c r="M11" s="199"/>
      <c r="N11" s="199"/>
      <c r="O11" s="199"/>
      <c r="P11" s="199"/>
      <c r="Q11" s="185"/>
      <c r="R11" s="185"/>
      <c r="S11" s="185"/>
      <c r="T11" s="185"/>
      <c r="U11" s="185"/>
      <c r="V11" s="185"/>
      <c r="W11" s="185"/>
    </row>
    <row r="12" spans="1:23" ht="8.25" customHeight="1" thickBot="1">
      <c r="A12" s="185"/>
      <c r="B12" s="200"/>
      <c r="C12" s="185"/>
      <c r="D12" s="185"/>
      <c r="E12" s="185"/>
      <c r="F12" s="185"/>
      <c r="G12" s="185"/>
      <c r="H12" s="185"/>
      <c r="I12" s="185"/>
      <c r="J12" s="185"/>
      <c r="K12" s="185"/>
      <c r="L12" s="185"/>
      <c r="M12" s="185"/>
      <c r="N12" s="185"/>
      <c r="O12" s="185"/>
      <c r="P12" s="185"/>
      <c r="Q12" s="185"/>
      <c r="R12" s="185"/>
      <c r="S12" s="185"/>
      <c r="T12" s="185"/>
      <c r="U12" s="185"/>
      <c r="V12" s="185"/>
      <c r="W12" s="185"/>
    </row>
    <row r="13" spans="1:23" ht="18.75" customHeight="1" thickBot="1">
      <c r="A13" s="201" t="s">
        <v>126</v>
      </c>
      <c r="B13" s="202"/>
      <c r="C13" s="202"/>
      <c r="D13" s="202"/>
      <c r="E13" s="202"/>
      <c r="F13" s="202"/>
      <c r="G13" s="202"/>
      <c r="H13" s="202"/>
      <c r="I13" s="202"/>
      <c r="J13" s="202"/>
      <c r="K13" s="203"/>
      <c r="L13" s="204" t="s">
        <v>127</v>
      </c>
      <c r="M13" s="202"/>
      <c r="N13" s="202"/>
      <c r="O13" s="202"/>
      <c r="P13" s="202"/>
      <c r="Q13" s="202"/>
      <c r="R13" s="202"/>
      <c r="S13" s="202"/>
      <c r="T13" s="202"/>
      <c r="U13" s="202"/>
      <c r="V13" s="205"/>
      <c r="W13" s="185"/>
    </row>
    <row r="14" spans="1:23" ht="17.25" customHeight="1" thickBot="1">
      <c r="A14" s="206" t="s">
        <v>57</v>
      </c>
      <c r="B14" s="207"/>
      <c r="C14" s="207"/>
      <c r="D14" s="207"/>
      <c r="E14" s="207"/>
      <c r="F14" s="207"/>
      <c r="G14" s="207"/>
      <c r="H14" s="207"/>
      <c r="I14" s="207"/>
      <c r="J14" s="207"/>
      <c r="K14" s="207"/>
      <c r="L14" s="207"/>
      <c r="M14" s="207"/>
      <c r="N14" s="207"/>
      <c r="O14" s="207"/>
      <c r="P14" s="207"/>
      <c r="Q14" s="207"/>
      <c r="R14" s="207"/>
      <c r="S14" s="207"/>
      <c r="T14" s="207"/>
      <c r="U14" s="207"/>
      <c r="V14" s="207"/>
      <c r="W14" s="185"/>
    </row>
    <row r="15" spans="1:23" ht="28.5" customHeight="1">
      <c r="A15" s="208" t="s">
        <v>128</v>
      </c>
      <c r="B15" s="209"/>
      <c r="C15" s="210"/>
      <c r="D15" s="211" t="s">
        <v>129</v>
      </c>
      <c r="E15" s="211"/>
      <c r="F15" s="211" t="s">
        <v>130</v>
      </c>
      <c r="G15" s="211"/>
      <c r="H15" s="211" t="s">
        <v>131</v>
      </c>
      <c r="I15" s="211"/>
      <c r="J15" s="212" t="s">
        <v>132</v>
      </c>
      <c r="K15" s="213"/>
      <c r="L15" s="214" t="s">
        <v>128</v>
      </c>
      <c r="M15" s="209"/>
      <c r="N15" s="210"/>
      <c r="O15" s="211" t="s">
        <v>129</v>
      </c>
      <c r="P15" s="211"/>
      <c r="Q15" s="211" t="s">
        <v>130</v>
      </c>
      <c r="R15" s="211"/>
      <c r="S15" s="211" t="s">
        <v>131</v>
      </c>
      <c r="T15" s="211"/>
      <c r="U15" s="212" t="s">
        <v>133</v>
      </c>
      <c r="V15" s="215"/>
      <c r="W15" s="185"/>
    </row>
    <row r="16" spans="1:23">
      <c r="A16" s="216"/>
      <c r="B16" s="217"/>
      <c r="C16" s="218"/>
      <c r="D16" s="219"/>
      <c r="E16" s="220"/>
      <c r="F16" s="219"/>
      <c r="G16" s="220"/>
      <c r="H16" s="221"/>
      <c r="I16" s="222"/>
      <c r="J16" s="223" t="str">
        <f>IF(F16="","",IF(H16="",0,+ROUND(F16*H16,3)))</f>
        <v/>
      </c>
      <c r="K16" s="224"/>
      <c r="L16" s="225" t="str">
        <f>IF(A16="","",A16)</f>
        <v/>
      </c>
      <c r="M16" s="217"/>
      <c r="N16" s="218"/>
      <c r="O16" s="226"/>
      <c r="P16" s="227"/>
      <c r="Q16" s="226"/>
      <c r="R16" s="227"/>
      <c r="S16" s="221"/>
      <c r="T16" s="228"/>
      <c r="U16" s="229" t="str">
        <f>IF(Q16="","",IF(S16="",0,+ROUND(Q16*S16,3)))</f>
        <v/>
      </c>
      <c r="V16" s="230"/>
      <c r="W16" s="185"/>
    </row>
    <row r="17" spans="1:23">
      <c r="A17" s="231"/>
      <c r="B17" s="190"/>
      <c r="C17" s="191"/>
      <c r="D17" s="232"/>
      <c r="E17" s="233"/>
      <c r="F17" s="232"/>
      <c r="G17" s="233"/>
      <c r="H17" s="234"/>
      <c r="I17" s="235"/>
      <c r="J17" s="229" t="str">
        <f>IF(F17="","",IF(H17="",0,+ROUND(F17*H17,3)))</f>
        <v/>
      </c>
      <c r="K17" s="236"/>
      <c r="L17" s="237" t="str">
        <f>IF(A17="","",A17)</f>
        <v/>
      </c>
      <c r="M17" s="190"/>
      <c r="N17" s="191"/>
      <c r="O17" s="238"/>
      <c r="P17" s="239"/>
      <c r="Q17" s="238"/>
      <c r="R17" s="239"/>
      <c r="S17" s="234"/>
      <c r="T17" s="240"/>
      <c r="U17" s="229" t="str">
        <f>IF(Q17="","",IF(S17="",0,+ROUND(Q17*S17,3)))</f>
        <v/>
      </c>
      <c r="V17" s="230"/>
      <c r="W17" s="185"/>
    </row>
    <row r="18" spans="1:23">
      <c r="A18" s="231"/>
      <c r="B18" s="190"/>
      <c r="C18" s="191"/>
      <c r="D18" s="232"/>
      <c r="E18" s="233"/>
      <c r="F18" s="232"/>
      <c r="G18" s="233"/>
      <c r="H18" s="234"/>
      <c r="I18" s="235"/>
      <c r="J18" s="229" t="str">
        <f t="shared" ref="J18:J46" si="0">IF(F18="","",IF(H18="",0,+ROUND(F18*H18,3)))</f>
        <v/>
      </c>
      <c r="K18" s="236"/>
      <c r="L18" s="237" t="str">
        <f t="shared" ref="L18:L45" si="1">IF(A18="","",A18)</f>
        <v/>
      </c>
      <c r="M18" s="190"/>
      <c r="N18" s="191"/>
      <c r="O18" s="238"/>
      <c r="P18" s="239"/>
      <c r="Q18" s="238"/>
      <c r="R18" s="239"/>
      <c r="S18" s="234"/>
      <c r="T18" s="240"/>
      <c r="U18" s="229" t="str">
        <f t="shared" ref="U18:U31" si="2">IF(Q18="","",IF(S18="",0,+ROUND(Q18*S18,3)))</f>
        <v/>
      </c>
      <c r="V18" s="230"/>
      <c r="W18" s="185"/>
    </row>
    <row r="19" spans="1:23">
      <c r="A19" s="231"/>
      <c r="B19" s="190"/>
      <c r="C19" s="191"/>
      <c r="D19" s="232"/>
      <c r="E19" s="233"/>
      <c r="F19" s="232"/>
      <c r="G19" s="233"/>
      <c r="H19" s="234"/>
      <c r="I19" s="235"/>
      <c r="J19" s="229" t="str">
        <f t="shared" si="0"/>
        <v/>
      </c>
      <c r="K19" s="236"/>
      <c r="L19" s="237" t="str">
        <f t="shared" si="1"/>
        <v/>
      </c>
      <c r="M19" s="190"/>
      <c r="N19" s="191"/>
      <c r="O19" s="238"/>
      <c r="P19" s="239"/>
      <c r="Q19" s="238"/>
      <c r="R19" s="239"/>
      <c r="S19" s="234"/>
      <c r="T19" s="240"/>
      <c r="U19" s="229" t="str">
        <f t="shared" si="2"/>
        <v/>
      </c>
      <c r="V19" s="230"/>
      <c r="W19" s="185"/>
    </row>
    <row r="20" spans="1:23">
      <c r="A20" s="231"/>
      <c r="B20" s="190"/>
      <c r="C20" s="191"/>
      <c r="D20" s="232"/>
      <c r="E20" s="233"/>
      <c r="F20" s="232"/>
      <c r="G20" s="233"/>
      <c r="H20" s="234"/>
      <c r="I20" s="235"/>
      <c r="J20" s="229" t="str">
        <f t="shared" si="0"/>
        <v/>
      </c>
      <c r="K20" s="236"/>
      <c r="L20" s="237" t="str">
        <f t="shared" si="1"/>
        <v/>
      </c>
      <c r="M20" s="190"/>
      <c r="N20" s="191"/>
      <c r="O20" s="238"/>
      <c r="P20" s="239"/>
      <c r="Q20" s="238"/>
      <c r="R20" s="239"/>
      <c r="S20" s="234"/>
      <c r="T20" s="240"/>
      <c r="U20" s="229" t="str">
        <f t="shared" si="2"/>
        <v/>
      </c>
      <c r="V20" s="230"/>
      <c r="W20" s="185"/>
    </row>
    <row r="21" spans="1:23">
      <c r="A21" s="231"/>
      <c r="B21" s="190"/>
      <c r="C21" s="191"/>
      <c r="D21" s="232"/>
      <c r="E21" s="233"/>
      <c r="F21" s="232"/>
      <c r="G21" s="233"/>
      <c r="H21" s="234"/>
      <c r="I21" s="235"/>
      <c r="J21" s="229" t="str">
        <f t="shared" si="0"/>
        <v/>
      </c>
      <c r="K21" s="236"/>
      <c r="L21" s="237" t="str">
        <f t="shared" si="1"/>
        <v/>
      </c>
      <c r="M21" s="190"/>
      <c r="N21" s="191"/>
      <c r="O21" s="238"/>
      <c r="P21" s="239"/>
      <c r="Q21" s="238"/>
      <c r="R21" s="239"/>
      <c r="S21" s="234"/>
      <c r="T21" s="240"/>
      <c r="U21" s="229" t="str">
        <f t="shared" si="2"/>
        <v/>
      </c>
      <c r="V21" s="230"/>
      <c r="W21" s="185"/>
    </row>
    <row r="22" spans="1:23">
      <c r="A22" s="231"/>
      <c r="B22" s="190"/>
      <c r="C22" s="191"/>
      <c r="D22" s="232"/>
      <c r="E22" s="233"/>
      <c r="F22" s="232"/>
      <c r="G22" s="233"/>
      <c r="H22" s="234"/>
      <c r="I22" s="235"/>
      <c r="J22" s="229" t="str">
        <f t="shared" si="0"/>
        <v/>
      </c>
      <c r="K22" s="236"/>
      <c r="L22" s="237" t="str">
        <f t="shared" si="1"/>
        <v/>
      </c>
      <c r="M22" s="190"/>
      <c r="N22" s="191"/>
      <c r="O22" s="238"/>
      <c r="P22" s="239"/>
      <c r="Q22" s="238"/>
      <c r="R22" s="239"/>
      <c r="S22" s="234"/>
      <c r="T22" s="240"/>
      <c r="U22" s="229" t="str">
        <f t="shared" si="2"/>
        <v/>
      </c>
      <c r="V22" s="230"/>
      <c r="W22" s="185"/>
    </row>
    <row r="23" spans="1:23">
      <c r="A23" s="231"/>
      <c r="B23" s="190"/>
      <c r="C23" s="191"/>
      <c r="D23" s="232"/>
      <c r="E23" s="233"/>
      <c r="F23" s="232"/>
      <c r="G23" s="233"/>
      <c r="H23" s="234"/>
      <c r="I23" s="235"/>
      <c r="J23" s="229" t="str">
        <f t="shared" si="0"/>
        <v/>
      </c>
      <c r="K23" s="236"/>
      <c r="L23" s="237" t="str">
        <f t="shared" si="1"/>
        <v/>
      </c>
      <c r="M23" s="190"/>
      <c r="N23" s="191"/>
      <c r="O23" s="238"/>
      <c r="P23" s="239"/>
      <c r="Q23" s="238"/>
      <c r="R23" s="239"/>
      <c r="S23" s="234"/>
      <c r="T23" s="240"/>
      <c r="U23" s="229" t="str">
        <f t="shared" si="2"/>
        <v/>
      </c>
      <c r="V23" s="230"/>
      <c r="W23" s="185"/>
    </row>
    <row r="24" spans="1:23">
      <c r="A24" s="231"/>
      <c r="B24" s="190"/>
      <c r="C24" s="191"/>
      <c r="D24" s="232"/>
      <c r="E24" s="233"/>
      <c r="F24" s="232"/>
      <c r="G24" s="233"/>
      <c r="H24" s="234"/>
      <c r="I24" s="235"/>
      <c r="J24" s="229" t="str">
        <f t="shared" si="0"/>
        <v/>
      </c>
      <c r="K24" s="236"/>
      <c r="L24" s="237" t="str">
        <f t="shared" si="1"/>
        <v/>
      </c>
      <c r="M24" s="190"/>
      <c r="N24" s="191"/>
      <c r="O24" s="238"/>
      <c r="P24" s="239"/>
      <c r="Q24" s="238"/>
      <c r="R24" s="239"/>
      <c r="S24" s="234"/>
      <c r="T24" s="240"/>
      <c r="U24" s="229" t="str">
        <f t="shared" si="2"/>
        <v/>
      </c>
      <c r="V24" s="230"/>
      <c r="W24" s="185"/>
    </row>
    <row r="25" spans="1:23">
      <c r="A25" s="231"/>
      <c r="B25" s="190"/>
      <c r="C25" s="191"/>
      <c r="D25" s="232"/>
      <c r="E25" s="233"/>
      <c r="F25" s="232"/>
      <c r="G25" s="233"/>
      <c r="H25" s="234"/>
      <c r="I25" s="235"/>
      <c r="J25" s="229" t="str">
        <f t="shared" si="0"/>
        <v/>
      </c>
      <c r="K25" s="236"/>
      <c r="L25" s="237" t="str">
        <f t="shared" si="1"/>
        <v/>
      </c>
      <c r="M25" s="190"/>
      <c r="N25" s="191"/>
      <c r="O25" s="238"/>
      <c r="P25" s="239"/>
      <c r="Q25" s="238"/>
      <c r="R25" s="239"/>
      <c r="S25" s="234"/>
      <c r="T25" s="240"/>
      <c r="U25" s="229" t="str">
        <f t="shared" si="2"/>
        <v/>
      </c>
      <c r="V25" s="230"/>
      <c r="W25" s="185"/>
    </row>
    <row r="26" spans="1:23">
      <c r="A26" s="231"/>
      <c r="B26" s="190"/>
      <c r="C26" s="191"/>
      <c r="D26" s="232"/>
      <c r="E26" s="233"/>
      <c r="F26" s="232"/>
      <c r="G26" s="233"/>
      <c r="H26" s="234"/>
      <c r="I26" s="235"/>
      <c r="J26" s="229" t="str">
        <f t="shared" si="0"/>
        <v/>
      </c>
      <c r="K26" s="236"/>
      <c r="L26" s="237" t="str">
        <f t="shared" si="1"/>
        <v/>
      </c>
      <c r="M26" s="190"/>
      <c r="N26" s="191"/>
      <c r="O26" s="238"/>
      <c r="P26" s="239"/>
      <c r="Q26" s="238"/>
      <c r="R26" s="239"/>
      <c r="S26" s="234"/>
      <c r="T26" s="240"/>
      <c r="U26" s="229" t="str">
        <f t="shared" si="2"/>
        <v/>
      </c>
      <c r="V26" s="230"/>
      <c r="W26" s="185"/>
    </row>
    <row r="27" spans="1:23">
      <c r="A27" s="231"/>
      <c r="B27" s="190"/>
      <c r="C27" s="191"/>
      <c r="D27" s="232"/>
      <c r="E27" s="233"/>
      <c r="F27" s="232"/>
      <c r="G27" s="233"/>
      <c r="H27" s="234"/>
      <c r="I27" s="235"/>
      <c r="J27" s="229" t="str">
        <f t="shared" si="0"/>
        <v/>
      </c>
      <c r="K27" s="236"/>
      <c r="L27" s="237" t="str">
        <f t="shared" si="1"/>
        <v/>
      </c>
      <c r="M27" s="190"/>
      <c r="N27" s="191"/>
      <c r="O27" s="238"/>
      <c r="P27" s="239"/>
      <c r="Q27" s="238"/>
      <c r="R27" s="239"/>
      <c r="S27" s="234"/>
      <c r="T27" s="240"/>
      <c r="U27" s="229" t="str">
        <f t="shared" si="2"/>
        <v/>
      </c>
      <c r="V27" s="230"/>
      <c r="W27" s="185"/>
    </row>
    <row r="28" spans="1:23">
      <c r="A28" s="231"/>
      <c r="B28" s="190"/>
      <c r="C28" s="191"/>
      <c r="D28" s="232"/>
      <c r="E28" s="233"/>
      <c r="F28" s="232"/>
      <c r="G28" s="233"/>
      <c r="H28" s="234"/>
      <c r="I28" s="235"/>
      <c r="J28" s="229" t="str">
        <f t="shared" si="0"/>
        <v/>
      </c>
      <c r="K28" s="236"/>
      <c r="L28" s="237" t="str">
        <f t="shared" si="1"/>
        <v/>
      </c>
      <c r="M28" s="190"/>
      <c r="N28" s="191"/>
      <c r="O28" s="238"/>
      <c r="P28" s="239"/>
      <c r="Q28" s="238"/>
      <c r="R28" s="239"/>
      <c r="S28" s="234"/>
      <c r="T28" s="240"/>
      <c r="U28" s="229" t="str">
        <f t="shared" si="2"/>
        <v/>
      </c>
      <c r="V28" s="230"/>
      <c r="W28" s="185"/>
    </row>
    <row r="29" spans="1:23">
      <c r="A29" s="231"/>
      <c r="B29" s="190"/>
      <c r="C29" s="191"/>
      <c r="D29" s="232"/>
      <c r="E29" s="233"/>
      <c r="F29" s="232"/>
      <c r="G29" s="233"/>
      <c r="H29" s="234"/>
      <c r="I29" s="235"/>
      <c r="J29" s="229" t="str">
        <f t="shared" si="0"/>
        <v/>
      </c>
      <c r="K29" s="236"/>
      <c r="L29" s="237" t="str">
        <f t="shared" si="1"/>
        <v/>
      </c>
      <c r="M29" s="190"/>
      <c r="N29" s="191"/>
      <c r="O29" s="238"/>
      <c r="P29" s="239"/>
      <c r="Q29" s="238"/>
      <c r="R29" s="239"/>
      <c r="S29" s="234"/>
      <c r="T29" s="240"/>
      <c r="U29" s="229" t="str">
        <f t="shared" si="2"/>
        <v/>
      </c>
      <c r="V29" s="230"/>
      <c r="W29" s="185"/>
    </row>
    <row r="30" spans="1:23">
      <c r="A30" s="231"/>
      <c r="B30" s="190"/>
      <c r="C30" s="191"/>
      <c r="D30" s="232"/>
      <c r="E30" s="233"/>
      <c r="F30" s="232"/>
      <c r="G30" s="233"/>
      <c r="H30" s="234"/>
      <c r="I30" s="235"/>
      <c r="J30" s="229" t="str">
        <f t="shared" si="0"/>
        <v/>
      </c>
      <c r="K30" s="236"/>
      <c r="L30" s="237" t="str">
        <f t="shared" si="1"/>
        <v/>
      </c>
      <c r="M30" s="190"/>
      <c r="N30" s="191"/>
      <c r="O30" s="238"/>
      <c r="P30" s="239"/>
      <c r="Q30" s="238"/>
      <c r="R30" s="239"/>
      <c r="S30" s="234"/>
      <c r="T30" s="240"/>
      <c r="U30" s="229" t="str">
        <f t="shared" si="2"/>
        <v/>
      </c>
      <c r="V30" s="230"/>
      <c r="W30" s="185"/>
    </row>
    <row r="31" spans="1:23">
      <c r="A31" s="231"/>
      <c r="B31" s="190"/>
      <c r="C31" s="191"/>
      <c r="D31" s="232"/>
      <c r="E31" s="233"/>
      <c r="F31" s="232"/>
      <c r="G31" s="233"/>
      <c r="H31" s="234"/>
      <c r="I31" s="235"/>
      <c r="J31" s="229" t="str">
        <f t="shared" si="0"/>
        <v/>
      </c>
      <c r="K31" s="236"/>
      <c r="L31" s="237" t="str">
        <f t="shared" si="1"/>
        <v/>
      </c>
      <c r="M31" s="190"/>
      <c r="N31" s="191"/>
      <c r="O31" s="238"/>
      <c r="P31" s="239"/>
      <c r="Q31" s="238"/>
      <c r="R31" s="239"/>
      <c r="S31" s="234"/>
      <c r="T31" s="240"/>
      <c r="U31" s="229" t="str">
        <f t="shared" si="2"/>
        <v/>
      </c>
      <c r="V31" s="230"/>
      <c r="W31" s="185"/>
    </row>
    <row r="32" spans="1:23">
      <c r="A32" s="231"/>
      <c r="B32" s="190"/>
      <c r="C32" s="191"/>
      <c r="D32" s="232"/>
      <c r="E32" s="233"/>
      <c r="F32" s="232"/>
      <c r="G32" s="233"/>
      <c r="H32" s="234"/>
      <c r="I32" s="235"/>
      <c r="J32" s="229" t="str">
        <f t="shared" si="0"/>
        <v/>
      </c>
      <c r="K32" s="236"/>
      <c r="L32" s="237" t="str">
        <f t="shared" si="1"/>
        <v/>
      </c>
      <c r="M32" s="190"/>
      <c r="N32" s="191"/>
      <c r="O32" s="238"/>
      <c r="P32" s="239"/>
      <c r="Q32" s="238"/>
      <c r="R32" s="239"/>
      <c r="S32" s="234"/>
      <c r="T32" s="240"/>
      <c r="U32" s="229" t="str">
        <f>IF(Q32="","",IF(S32="",0,+ROUND(Q32*S32,3)))</f>
        <v/>
      </c>
      <c r="V32" s="230"/>
      <c r="W32" s="185"/>
    </row>
    <row r="33" spans="1:23">
      <c r="A33" s="231"/>
      <c r="B33" s="190"/>
      <c r="C33" s="191"/>
      <c r="D33" s="232"/>
      <c r="E33" s="233"/>
      <c r="F33" s="232"/>
      <c r="G33" s="233"/>
      <c r="H33" s="234"/>
      <c r="I33" s="235"/>
      <c r="J33" s="229" t="str">
        <f t="shared" si="0"/>
        <v/>
      </c>
      <c r="K33" s="236"/>
      <c r="L33" s="237" t="str">
        <f t="shared" si="1"/>
        <v/>
      </c>
      <c r="M33" s="190"/>
      <c r="N33" s="191"/>
      <c r="O33" s="238"/>
      <c r="P33" s="239"/>
      <c r="Q33" s="238"/>
      <c r="R33" s="239"/>
      <c r="S33" s="234"/>
      <c r="T33" s="240"/>
      <c r="U33" s="229" t="str">
        <f t="shared" ref="U33:U45" si="3">IF(Q33="","",IF(S33="",0,+ROUND(Q33*S33,3)))</f>
        <v/>
      </c>
      <c r="V33" s="230"/>
      <c r="W33" s="185"/>
    </row>
    <row r="34" spans="1:23">
      <c r="A34" s="231"/>
      <c r="B34" s="190"/>
      <c r="C34" s="191"/>
      <c r="D34" s="232"/>
      <c r="E34" s="233"/>
      <c r="F34" s="232"/>
      <c r="G34" s="233"/>
      <c r="H34" s="234"/>
      <c r="I34" s="235"/>
      <c r="J34" s="229" t="str">
        <f t="shared" si="0"/>
        <v/>
      </c>
      <c r="K34" s="236"/>
      <c r="L34" s="237" t="str">
        <f t="shared" si="1"/>
        <v/>
      </c>
      <c r="M34" s="190"/>
      <c r="N34" s="191"/>
      <c r="O34" s="238"/>
      <c r="P34" s="239"/>
      <c r="Q34" s="238"/>
      <c r="R34" s="239"/>
      <c r="S34" s="234"/>
      <c r="T34" s="240"/>
      <c r="U34" s="229" t="str">
        <f t="shared" si="3"/>
        <v/>
      </c>
      <c r="V34" s="230"/>
      <c r="W34" s="185"/>
    </row>
    <row r="35" spans="1:23">
      <c r="A35" s="231"/>
      <c r="B35" s="190"/>
      <c r="C35" s="191"/>
      <c r="D35" s="232"/>
      <c r="E35" s="233"/>
      <c r="F35" s="232"/>
      <c r="G35" s="233"/>
      <c r="H35" s="234"/>
      <c r="I35" s="235"/>
      <c r="J35" s="229" t="str">
        <f t="shared" si="0"/>
        <v/>
      </c>
      <c r="K35" s="236"/>
      <c r="L35" s="237" t="str">
        <f t="shared" si="1"/>
        <v/>
      </c>
      <c r="M35" s="190"/>
      <c r="N35" s="191"/>
      <c r="O35" s="238"/>
      <c r="P35" s="239"/>
      <c r="Q35" s="238"/>
      <c r="R35" s="239"/>
      <c r="S35" s="234"/>
      <c r="T35" s="240"/>
      <c r="U35" s="229" t="str">
        <f t="shared" si="3"/>
        <v/>
      </c>
      <c r="V35" s="230"/>
      <c r="W35" s="185"/>
    </row>
    <row r="36" spans="1:23">
      <c r="A36" s="231"/>
      <c r="B36" s="190"/>
      <c r="C36" s="191"/>
      <c r="D36" s="232"/>
      <c r="E36" s="233"/>
      <c r="F36" s="232"/>
      <c r="G36" s="233"/>
      <c r="H36" s="234"/>
      <c r="I36" s="235"/>
      <c r="J36" s="229" t="str">
        <f t="shared" si="0"/>
        <v/>
      </c>
      <c r="K36" s="236"/>
      <c r="L36" s="237" t="str">
        <f t="shared" si="1"/>
        <v/>
      </c>
      <c r="M36" s="190"/>
      <c r="N36" s="191"/>
      <c r="O36" s="238"/>
      <c r="P36" s="239"/>
      <c r="Q36" s="238"/>
      <c r="R36" s="239"/>
      <c r="S36" s="234"/>
      <c r="T36" s="240"/>
      <c r="U36" s="229" t="str">
        <f t="shared" si="3"/>
        <v/>
      </c>
      <c r="V36" s="230"/>
      <c r="W36" s="185"/>
    </row>
    <row r="37" spans="1:23">
      <c r="A37" s="231"/>
      <c r="B37" s="190"/>
      <c r="C37" s="191"/>
      <c r="D37" s="232"/>
      <c r="E37" s="233"/>
      <c r="F37" s="232"/>
      <c r="G37" s="233"/>
      <c r="H37" s="234"/>
      <c r="I37" s="235"/>
      <c r="J37" s="229" t="str">
        <f t="shared" si="0"/>
        <v/>
      </c>
      <c r="K37" s="236"/>
      <c r="L37" s="237" t="str">
        <f t="shared" si="1"/>
        <v/>
      </c>
      <c r="M37" s="190"/>
      <c r="N37" s="191"/>
      <c r="O37" s="238"/>
      <c r="P37" s="239"/>
      <c r="Q37" s="238"/>
      <c r="R37" s="239"/>
      <c r="S37" s="234"/>
      <c r="T37" s="240"/>
      <c r="U37" s="229" t="str">
        <f t="shared" si="3"/>
        <v/>
      </c>
      <c r="V37" s="230"/>
      <c r="W37" s="185"/>
    </row>
    <row r="38" spans="1:23">
      <c r="A38" s="231"/>
      <c r="B38" s="190"/>
      <c r="C38" s="191"/>
      <c r="D38" s="232"/>
      <c r="E38" s="233"/>
      <c r="F38" s="232"/>
      <c r="G38" s="233"/>
      <c r="H38" s="234"/>
      <c r="I38" s="235"/>
      <c r="J38" s="229" t="str">
        <f t="shared" si="0"/>
        <v/>
      </c>
      <c r="K38" s="236"/>
      <c r="L38" s="237" t="str">
        <f t="shared" si="1"/>
        <v/>
      </c>
      <c r="M38" s="190"/>
      <c r="N38" s="191"/>
      <c r="O38" s="238"/>
      <c r="P38" s="239"/>
      <c r="Q38" s="238"/>
      <c r="R38" s="239"/>
      <c r="S38" s="234"/>
      <c r="T38" s="240"/>
      <c r="U38" s="229" t="str">
        <f t="shared" si="3"/>
        <v/>
      </c>
      <c r="V38" s="230"/>
      <c r="W38" s="185"/>
    </row>
    <row r="39" spans="1:23">
      <c r="A39" s="231"/>
      <c r="B39" s="190"/>
      <c r="C39" s="191"/>
      <c r="D39" s="232"/>
      <c r="E39" s="233"/>
      <c r="F39" s="232"/>
      <c r="G39" s="233"/>
      <c r="H39" s="234"/>
      <c r="I39" s="235"/>
      <c r="J39" s="229" t="str">
        <f t="shared" si="0"/>
        <v/>
      </c>
      <c r="K39" s="236"/>
      <c r="L39" s="237" t="str">
        <f t="shared" si="1"/>
        <v/>
      </c>
      <c r="M39" s="190"/>
      <c r="N39" s="191"/>
      <c r="O39" s="238"/>
      <c r="P39" s="239"/>
      <c r="Q39" s="238"/>
      <c r="R39" s="239"/>
      <c r="S39" s="234"/>
      <c r="T39" s="240"/>
      <c r="U39" s="229" t="str">
        <f t="shared" si="3"/>
        <v/>
      </c>
      <c r="V39" s="230"/>
      <c r="W39" s="185"/>
    </row>
    <row r="40" spans="1:23">
      <c r="A40" s="231"/>
      <c r="B40" s="190"/>
      <c r="C40" s="191"/>
      <c r="D40" s="232"/>
      <c r="E40" s="233"/>
      <c r="F40" s="232"/>
      <c r="G40" s="233"/>
      <c r="H40" s="234"/>
      <c r="I40" s="235"/>
      <c r="J40" s="229" t="str">
        <f t="shared" si="0"/>
        <v/>
      </c>
      <c r="K40" s="236"/>
      <c r="L40" s="237" t="str">
        <f t="shared" si="1"/>
        <v/>
      </c>
      <c r="M40" s="190"/>
      <c r="N40" s="191"/>
      <c r="O40" s="238"/>
      <c r="P40" s="239"/>
      <c r="Q40" s="238"/>
      <c r="R40" s="239"/>
      <c r="S40" s="234"/>
      <c r="T40" s="240"/>
      <c r="U40" s="229" t="str">
        <f t="shared" si="3"/>
        <v/>
      </c>
      <c r="V40" s="230"/>
      <c r="W40" s="185"/>
    </row>
    <row r="41" spans="1:23">
      <c r="A41" s="231"/>
      <c r="B41" s="190"/>
      <c r="C41" s="191"/>
      <c r="D41" s="232"/>
      <c r="E41" s="233"/>
      <c r="F41" s="232"/>
      <c r="G41" s="233"/>
      <c r="H41" s="234"/>
      <c r="I41" s="235"/>
      <c r="J41" s="229" t="str">
        <f t="shared" si="0"/>
        <v/>
      </c>
      <c r="K41" s="236"/>
      <c r="L41" s="237" t="str">
        <f t="shared" si="1"/>
        <v/>
      </c>
      <c r="M41" s="190"/>
      <c r="N41" s="191"/>
      <c r="O41" s="238"/>
      <c r="P41" s="239"/>
      <c r="Q41" s="238"/>
      <c r="R41" s="239"/>
      <c r="S41" s="234"/>
      <c r="T41" s="240"/>
      <c r="U41" s="229" t="str">
        <f t="shared" si="3"/>
        <v/>
      </c>
      <c r="V41" s="230"/>
      <c r="W41" s="185"/>
    </row>
    <row r="42" spans="1:23">
      <c r="A42" s="231"/>
      <c r="B42" s="190"/>
      <c r="C42" s="191"/>
      <c r="D42" s="232"/>
      <c r="E42" s="233"/>
      <c r="F42" s="232"/>
      <c r="G42" s="233"/>
      <c r="H42" s="234"/>
      <c r="I42" s="235"/>
      <c r="J42" s="229" t="str">
        <f t="shared" si="0"/>
        <v/>
      </c>
      <c r="K42" s="236"/>
      <c r="L42" s="237" t="str">
        <f t="shared" si="1"/>
        <v/>
      </c>
      <c r="M42" s="190"/>
      <c r="N42" s="191"/>
      <c r="O42" s="238"/>
      <c r="P42" s="239"/>
      <c r="Q42" s="238"/>
      <c r="R42" s="239"/>
      <c r="S42" s="234"/>
      <c r="T42" s="240"/>
      <c r="U42" s="229" t="str">
        <f t="shared" si="3"/>
        <v/>
      </c>
      <c r="V42" s="230"/>
      <c r="W42" s="185"/>
    </row>
    <row r="43" spans="1:23">
      <c r="A43" s="231"/>
      <c r="B43" s="190"/>
      <c r="C43" s="191"/>
      <c r="D43" s="232"/>
      <c r="E43" s="233"/>
      <c r="F43" s="232"/>
      <c r="G43" s="233"/>
      <c r="H43" s="234"/>
      <c r="I43" s="235"/>
      <c r="J43" s="229" t="str">
        <f t="shared" si="0"/>
        <v/>
      </c>
      <c r="K43" s="236"/>
      <c r="L43" s="237" t="str">
        <f t="shared" si="1"/>
        <v/>
      </c>
      <c r="M43" s="190"/>
      <c r="N43" s="191"/>
      <c r="O43" s="238"/>
      <c r="P43" s="239"/>
      <c r="Q43" s="238"/>
      <c r="R43" s="239"/>
      <c r="S43" s="234"/>
      <c r="T43" s="240"/>
      <c r="U43" s="229" t="str">
        <f t="shared" si="3"/>
        <v/>
      </c>
      <c r="V43" s="230"/>
      <c r="W43" s="185"/>
    </row>
    <row r="44" spans="1:23">
      <c r="A44" s="231"/>
      <c r="B44" s="190"/>
      <c r="C44" s="191"/>
      <c r="D44" s="232"/>
      <c r="E44" s="233"/>
      <c r="F44" s="232"/>
      <c r="G44" s="233"/>
      <c r="H44" s="234"/>
      <c r="I44" s="235"/>
      <c r="J44" s="229" t="str">
        <f t="shared" si="0"/>
        <v/>
      </c>
      <c r="K44" s="236"/>
      <c r="L44" s="237" t="str">
        <f t="shared" si="1"/>
        <v/>
      </c>
      <c r="M44" s="190"/>
      <c r="N44" s="191"/>
      <c r="O44" s="238"/>
      <c r="P44" s="239"/>
      <c r="Q44" s="238"/>
      <c r="R44" s="239"/>
      <c r="S44" s="234"/>
      <c r="T44" s="240"/>
      <c r="U44" s="229" t="str">
        <f t="shared" si="3"/>
        <v/>
      </c>
      <c r="V44" s="230"/>
      <c r="W44" s="185"/>
    </row>
    <row r="45" spans="1:23" ht="15" thickBot="1">
      <c r="A45" s="231"/>
      <c r="B45" s="190"/>
      <c r="C45" s="191"/>
      <c r="D45" s="232"/>
      <c r="E45" s="233"/>
      <c r="F45" s="232"/>
      <c r="G45" s="233"/>
      <c r="H45" s="234"/>
      <c r="I45" s="235"/>
      <c r="J45" s="229" t="str">
        <f t="shared" si="0"/>
        <v/>
      </c>
      <c r="K45" s="236"/>
      <c r="L45" s="247" t="str">
        <f t="shared" si="1"/>
        <v/>
      </c>
      <c r="M45" s="242"/>
      <c r="N45" s="243"/>
      <c r="O45" s="238"/>
      <c r="P45" s="239"/>
      <c r="Q45" s="238"/>
      <c r="R45" s="239"/>
      <c r="S45" s="234"/>
      <c r="T45" s="240"/>
      <c r="U45" s="246" t="str">
        <f t="shared" si="3"/>
        <v/>
      </c>
      <c r="V45" s="250"/>
      <c r="W45" s="185"/>
    </row>
    <row r="46" spans="1:23" ht="15" thickBot="1">
      <c r="A46" s="185" t="s">
        <v>134</v>
      </c>
      <c r="B46" s="185"/>
      <c r="C46" s="185"/>
      <c r="D46" s="185"/>
      <c r="E46" s="185"/>
      <c r="F46" s="251" t="str">
        <f>IF(F16&lt;&gt;"",SUM(F16:F45),"")</f>
        <v/>
      </c>
      <c r="G46" s="252"/>
      <c r="H46" s="253"/>
      <c r="I46" s="254"/>
      <c r="J46" s="229" t="str">
        <f t="shared" si="0"/>
        <v/>
      </c>
      <c r="K46" s="236"/>
      <c r="L46" s="255"/>
      <c r="M46" s="256"/>
      <c r="N46" s="256"/>
      <c r="O46" s="256"/>
      <c r="P46" s="257"/>
      <c r="Q46" s="251" t="str">
        <f>IF(Q16="","",SUM(Q16:Q45))</f>
        <v/>
      </c>
      <c r="R46" s="252"/>
      <c r="S46" s="258"/>
      <c r="T46" s="257"/>
      <c r="U46" s="251" t="str">
        <f>IF(U16="","",SUM(U16:U45))</f>
        <v/>
      </c>
      <c r="V46" s="252"/>
      <c r="W46" s="185"/>
    </row>
    <row r="47" spans="1:23" ht="6.75" customHeight="1">
      <c r="A47" s="185"/>
      <c r="B47" s="185"/>
      <c r="C47" s="185"/>
      <c r="D47" s="185"/>
      <c r="E47" s="185"/>
      <c r="F47" s="185"/>
      <c r="G47" s="185"/>
      <c r="H47" s="259"/>
      <c r="I47" s="259"/>
      <c r="J47" s="185"/>
      <c r="K47" s="185"/>
      <c r="L47" s="185"/>
      <c r="M47" s="185"/>
      <c r="N47" s="185"/>
      <c r="O47" s="185"/>
      <c r="P47" s="185"/>
      <c r="Q47" s="185"/>
      <c r="R47" s="185"/>
      <c r="S47" s="185"/>
      <c r="T47" s="185"/>
      <c r="U47" s="185"/>
      <c r="V47" s="185"/>
      <c r="W47" s="185"/>
    </row>
    <row r="48" spans="1:23" ht="15" thickBot="1">
      <c r="A48" s="206" t="s">
        <v>135</v>
      </c>
      <c r="B48" s="185"/>
      <c r="C48" s="185"/>
      <c r="D48" s="185"/>
      <c r="E48" s="185"/>
      <c r="F48" s="185"/>
      <c r="G48" s="185"/>
      <c r="H48" s="185"/>
      <c r="I48" s="185"/>
      <c r="J48" s="185"/>
      <c r="K48" s="200" t="s">
        <v>136</v>
      </c>
      <c r="L48" s="519">
        <v>1</v>
      </c>
      <c r="M48" s="519"/>
      <c r="N48" s="185" t="s">
        <v>137</v>
      </c>
      <c r="O48" s="185"/>
      <c r="P48" s="185"/>
      <c r="Q48" s="185"/>
      <c r="R48" s="185"/>
      <c r="S48" s="185"/>
      <c r="T48" s="185"/>
      <c r="U48" s="185"/>
      <c r="V48" s="185"/>
      <c r="W48" s="185"/>
    </row>
    <row r="49" spans="1:23" ht="26.25" customHeight="1">
      <c r="A49" s="208" t="s">
        <v>128</v>
      </c>
      <c r="B49" s="209"/>
      <c r="C49" s="210"/>
      <c r="D49" s="212" t="s">
        <v>129</v>
      </c>
      <c r="E49" s="260"/>
      <c r="F49" s="212" t="s">
        <v>130</v>
      </c>
      <c r="G49" s="261"/>
      <c r="H49" s="260"/>
      <c r="I49" s="212" t="s">
        <v>138</v>
      </c>
      <c r="J49" s="261"/>
      <c r="K49" s="213"/>
      <c r="L49" s="214" t="s">
        <v>128</v>
      </c>
      <c r="M49" s="209"/>
      <c r="N49" s="210"/>
      <c r="O49" s="211" t="s">
        <v>129</v>
      </c>
      <c r="P49" s="211"/>
      <c r="Q49" s="211" t="s">
        <v>130</v>
      </c>
      <c r="R49" s="211"/>
      <c r="S49" s="211"/>
      <c r="T49" s="211" t="s">
        <v>138</v>
      </c>
      <c r="U49" s="211"/>
      <c r="V49" s="262"/>
      <c r="W49" s="185"/>
    </row>
    <row r="50" spans="1:23" ht="12.75" customHeight="1">
      <c r="A50" s="216" t="str">
        <f>IF([1]Données!B128="","",[1]Données!B128)</f>
        <v>FWT1 P</v>
      </c>
      <c r="B50" s="217"/>
      <c r="C50" s="218"/>
      <c r="D50" s="219"/>
      <c r="E50" s="220"/>
      <c r="F50" s="223"/>
      <c r="G50" s="263"/>
      <c r="H50" s="264"/>
      <c r="I50" s="223" t="str">
        <f>IF(F50="","",F50*L$48)</f>
        <v/>
      </c>
      <c r="J50" s="263"/>
      <c r="K50" s="224"/>
      <c r="L50" s="265" t="str">
        <f>IF(A50="","",A50)</f>
        <v>FWT1 P</v>
      </c>
      <c r="M50" s="266"/>
      <c r="N50" s="267"/>
      <c r="O50" s="226"/>
      <c r="P50" s="227"/>
      <c r="Q50" s="268"/>
      <c r="R50" s="268"/>
      <c r="S50" s="268"/>
      <c r="T50" s="268" t="str">
        <f>IF(Q50="","",Q50*L$48)</f>
        <v/>
      </c>
      <c r="U50" s="268"/>
      <c r="V50" s="269"/>
      <c r="W50" s="185"/>
    </row>
    <row r="51" spans="1:23" ht="29">
      <c r="A51" s="231" t="str">
        <f>IF([1]Données!B129="","",[1]Données!B129)</f>
        <v>FXT 1S</v>
      </c>
      <c r="B51" s="190"/>
      <c r="C51" s="191"/>
      <c r="D51" s="232"/>
      <c r="E51" s="233"/>
      <c r="F51" s="229"/>
      <c r="G51" s="270"/>
      <c r="H51" s="271"/>
      <c r="I51" s="229" t="str">
        <f>IF(F51="","",F51*L$48)</f>
        <v/>
      </c>
      <c r="J51" s="272"/>
      <c r="K51" s="273"/>
      <c r="L51" s="274" t="str">
        <f>IF(A51="","",A51)</f>
        <v>FXT 1S</v>
      </c>
      <c r="M51" s="275"/>
      <c r="N51" s="276"/>
      <c r="O51" s="238"/>
      <c r="P51" s="239"/>
      <c r="Q51" s="277"/>
      <c r="R51" s="277"/>
      <c r="S51" s="277"/>
      <c r="T51" s="277" t="str">
        <f>IF(Q51="","",Q51*L$48)</f>
        <v/>
      </c>
      <c r="U51" s="277"/>
      <c r="V51" s="278"/>
      <c r="W51" s="185"/>
    </row>
    <row r="52" spans="1:23">
      <c r="A52" s="231" t="str">
        <f>IF([1]Données!B130="","",[1]Données!B130)</f>
        <v/>
      </c>
      <c r="B52" s="190"/>
      <c r="C52" s="191"/>
      <c r="D52" s="232"/>
      <c r="E52" s="233"/>
      <c r="F52" s="229"/>
      <c r="G52" s="270"/>
      <c r="H52" s="271"/>
      <c r="I52" s="229" t="str">
        <f>IF(F52="","",F52*L$48)</f>
        <v/>
      </c>
      <c r="J52" s="272"/>
      <c r="K52" s="273"/>
      <c r="L52" s="274" t="str">
        <f>IF(A52="","",A52)</f>
        <v/>
      </c>
      <c r="M52" s="275"/>
      <c r="N52" s="276"/>
      <c r="O52" s="238"/>
      <c r="P52" s="239"/>
      <c r="Q52" s="277"/>
      <c r="R52" s="277"/>
      <c r="S52" s="277"/>
      <c r="T52" s="277" t="str">
        <f>IF(Q52="","",Q52*L$48)</f>
        <v/>
      </c>
      <c r="U52" s="277"/>
      <c r="V52" s="278"/>
      <c r="W52" s="185"/>
    </row>
    <row r="53" spans="1:23" ht="15" thickBot="1">
      <c r="A53" s="241" t="str">
        <f>IF([1]Données!B131="","",[1]Données!B131)</f>
        <v/>
      </c>
      <c r="B53" s="242"/>
      <c r="C53" s="243"/>
      <c r="D53" s="244"/>
      <c r="E53" s="245"/>
      <c r="F53" s="246"/>
      <c r="G53" s="279"/>
      <c r="H53" s="280"/>
      <c r="I53" s="246" t="str">
        <f>IF(F53="","",F53*L$48)</f>
        <v/>
      </c>
      <c r="J53" s="281"/>
      <c r="K53" s="282"/>
      <c r="L53" s="283" t="str">
        <f>IF(A53="","",A53)</f>
        <v/>
      </c>
      <c r="M53" s="284"/>
      <c r="N53" s="285"/>
      <c r="O53" s="248"/>
      <c r="P53" s="249"/>
      <c r="Q53" s="286" t="str">
        <f>IF([1]Données!N131="","",[1]Données!N131)</f>
        <v/>
      </c>
      <c r="R53" s="286"/>
      <c r="S53" s="286"/>
      <c r="T53" s="286" t="str">
        <f>IF(Q53="","",Q53*L$48)</f>
        <v/>
      </c>
      <c r="U53" s="286"/>
      <c r="V53" s="287"/>
      <c r="W53" s="185"/>
    </row>
    <row r="54" spans="1:23" ht="13.5" customHeight="1" thickBot="1">
      <c r="A54" s="288" t="s">
        <v>134</v>
      </c>
      <c r="B54" s="288"/>
      <c r="C54" s="185"/>
      <c r="D54" s="185"/>
      <c r="E54" s="185"/>
      <c r="F54" s="200"/>
      <c r="G54" s="200"/>
      <c r="H54" s="200"/>
      <c r="I54" s="251" t="str">
        <f>IF(I50="","",SUM(I50:I53))</f>
        <v/>
      </c>
      <c r="J54" s="289"/>
      <c r="K54" s="290"/>
      <c r="L54" s="291"/>
      <c r="M54" s="292"/>
      <c r="N54" s="185"/>
      <c r="O54" s="185"/>
      <c r="P54" s="185"/>
      <c r="Q54" s="200"/>
      <c r="R54" s="200"/>
      <c r="S54" s="200"/>
      <c r="T54" s="251" t="str">
        <f>IF(T50="","",SUM(T50:T53))</f>
        <v/>
      </c>
      <c r="U54" s="289"/>
      <c r="V54" s="290"/>
      <c r="W54" s="185"/>
    </row>
    <row r="55" spans="1:23" ht="6.75" customHeight="1">
      <c r="A55" s="185"/>
      <c r="B55" s="185"/>
      <c r="C55" s="185"/>
      <c r="D55" s="185"/>
      <c r="E55" s="185"/>
      <c r="F55" s="185"/>
      <c r="G55" s="185"/>
      <c r="H55" s="185"/>
      <c r="I55" s="185"/>
      <c r="J55" s="185"/>
      <c r="K55" s="185"/>
      <c r="L55" s="185"/>
      <c r="M55" s="185"/>
      <c r="N55" s="185"/>
      <c r="O55" s="185"/>
      <c r="P55" s="185"/>
      <c r="Q55" s="185"/>
      <c r="R55" s="185"/>
      <c r="S55" s="185"/>
      <c r="T55" s="185"/>
      <c r="U55" s="185"/>
      <c r="V55" s="185"/>
      <c r="W55" s="185"/>
    </row>
    <row r="56" spans="1:23" ht="15" thickBot="1">
      <c r="A56" s="206" t="s">
        <v>139</v>
      </c>
      <c r="B56" s="185"/>
      <c r="C56" s="185"/>
      <c r="D56" s="185"/>
      <c r="E56" s="185"/>
      <c r="F56" s="185"/>
      <c r="G56" s="185"/>
      <c r="H56" s="185"/>
      <c r="I56" s="185"/>
      <c r="J56" s="185"/>
      <c r="K56" s="185"/>
      <c r="L56" s="185"/>
      <c r="M56" s="185"/>
      <c r="N56" s="185"/>
      <c r="O56" s="185"/>
      <c r="P56" s="185"/>
      <c r="Q56" s="185"/>
      <c r="R56" s="185"/>
      <c r="S56" s="185"/>
      <c r="T56" s="185"/>
      <c r="U56" s="185"/>
      <c r="V56" s="185"/>
      <c r="W56" s="185"/>
    </row>
    <row r="57" spans="1:23">
      <c r="A57" s="293" t="s">
        <v>140</v>
      </c>
      <c r="B57" s="294"/>
      <c r="C57" s="294"/>
      <c r="D57" s="294"/>
      <c r="E57" s="294"/>
      <c r="F57" s="294"/>
      <c r="G57" s="294"/>
      <c r="H57" s="295"/>
      <c r="I57" s="296"/>
      <c r="J57" s="297"/>
      <c r="K57" s="298"/>
      <c r="L57" s="299"/>
      <c r="M57" s="299"/>
      <c r="N57" s="299"/>
      <c r="O57" s="300"/>
      <c r="P57" s="185"/>
      <c r="Q57" s="185"/>
      <c r="R57" s="185"/>
      <c r="S57" s="185"/>
      <c r="T57" s="185"/>
      <c r="U57" s="185"/>
      <c r="V57" s="185"/>
      <c r="W57" s="185"/>
    </row>
    <row r="58" spans="1:23">
      <c r="A58" s="231" t="s">
        <v>141</v>
      </c>
      <c r="B58" s="50"/>
      <c r="C58" s="50"/>
      <c r="D58" s="50"/>
      <c r="E58" s="50"/>
      <c r="F58" s="50"/>
      <c r="G58" s="50"/>
      <c r="H58" s="301"/>
      <c r="I58" s="229"/>
      <c r="J58" s="302"/>
      <c r="K58" s="303"/>
      <c r="L58" s="304"/>
      <c r="M58" s="304"/>
      <c r="N58" s="304"/>
      <c r="O58" s="305"/>
      <c r="P58" s="185"/>
      <c r="Q58" s="185"/>
      <c r="R58" s="185"/>
      <c r="S58" s="185"/>
      <c r="T58" s="185"/>
      <c r="U58" s="185"/>
      <c r="V58" s="185"/>
      <c r="W58" s="185"/>
    </row>
    <row r="59" spans="1:23" ht="15" thickBot="1">
      <c r="A59" s="306" t="s">
        <v>142</v>
      </c>
      <c r="B59" s="307"/>
      <c r="C59" s="307"/>
      <c r="D59" s="307"/>
      <c r="E59" s="307"/>
      <c r="F59" s="307"/>
      <c r="G59" s="307"/>
      <c r="H59" s="308"/>
      <c r="I59" s="246"/>
      <c r="J59" s="309"/>
      <c r="K59" s="310"/>
      <c r="L59" s="311"/>
      <c r="M59" s="311"/>
      <c r="N59" s="311"/>
      <c r="O59" s="312"/>
      <c r="P59" s="185"/>
      <c r="Q59" s="185"/>
      <c r="R59" s="185"/>
      <c r="S59" s="185"/>
      <c r="T59" s="185"/>
      <c r="U59" s="185"/>
      <c r="V59" s="185"/>
      <c r="W59" s="185"/>
    </row>
    <row r="60" spans="1:23" ht="15" thickBot="1">
      <c r="A60" s="313" t="s">
        <v>143</v>
      </c>
      <c r="B60" s="314"/>
      <c r="C60" s="314"/>
      <c r="D60" s="314"/>
      <c r="E60" s="314"/>
      <c r="F60" s="314"/>
      <c r="G60" s="314"/>
      <c r="H60" s="315"/>
      <c r="I60" s="316" t="str">
        <f>IF(I57="","",SUM(I57:I59))</f>
        <v/>
      </c>
      <c r="J60" s="317"/>
      <c r="K60" s="318"/>
      <c r="L60" s="319" t="str">
        <f>IF(L57="","",SUM(L57:M59))</f>
        <v/>
      </c>
      <c r="M60" s="319"/>
      <c r="N60" s="319"/>
      <c r="O60" s="320"/>
      <c r="P60" s="185"/>
      <c r="Q60" s="185"/>
      <c r="R60" s="185"/>
      <c r="S60" s="185"/>
      <c r="T60" s="185"/>
      <c r="U60" s="185"/>
      <c r="V60" s="185"/>
      <c r="W60" s="185"/>
    </row>
    <row r="61" spans="1:23">
      <c r="A61" s="321" t="s">
        <v>144</v>
      </c>
      <c r="B61" s="185"/>
      <c r="C61" s="185"/>
      <c r="D61" s="185"/>
      <c r="E61" s="185"/>
      <c r="F61" s="185"/>
      <c r="G61" s="185"/>
      <c r="H61" s="185"/>
      <c r="I61" s="185"/>
      <c r="J61" s="185"/>
      <c r="K61" s="185"/>
      <c r="L61" s="185"/>
      <c r="M61" s="185"/>
      <c r="N61" s="185"/>
      <c r="O61" s="185"/>
      <c r="P61" s="185"/>
      <c r="Q61" s="185"/>
      <c r="R61" s="185"/>
      <c r="S61" s="185"/>
      <c r="T61" s="185"/>
      <c r="U61" s="185"/>
      <c r="V61" s="185"/>
      <c r="W61" s="185"/>
    </row>
    <row r="62" spans="1:23" ht="8.25" customHeight="1">
      <c r="A62" s="185"/>
      <c r="B62" s="185"/>
      <c r="C62" s="185"/>
      <c r="D62" s="185"/>
      <c r="E62" s="185"/>
      <c r="F62" s="185"/>
      <c r="G62" s="185"/>
      <c r="H62" s="185"/>
      <c r="I62" s="185"/>
      <c r="J62" s="185"/>
      <c r="K62" s="185"/>
      <c r="L62" s="185"/>
      <c r="M62" s="185"/>
      <c r="N62" s="185"/>
      <c r="O62" s="185"/>
      <c r="P62" s="185"/>
      <c r="Q62" s="185"/>
      <c r="R62" s="185"/>
      <c r="S62" s="185"/>
      <c r="T62" s="185"/>
      <c r="U62" s="185"/>
      <c r="V62" s="185"/>
      <c r="W62" s="185"/>
    </row>
    <row r="63" spans="1:23">
      <c r="A63" s="185"/>
      <c r="B63" s="185"/>
      <c r="C63" s="322" t="s">
        <v>117</v>
      </c>
      <c r="D63" s="185"/>
      <c r="E63" s="185"/>
      <c r="F63" s="185"/>
      <c r="G63" s="185"/>
      <c r="H63" s="185"/>
      <c r="I63" s="323"/>
      <c r="J63" s="185"/>
      <c r="K63" s="185"/>
      <c r="L63" s="185"/>
      <c r="M63" s="185"/>
      <c r="N63" s="185"/>
      <c r="O63" s="185"/>
      <c r="P63" s="185"/>
      <c r="Q63" s="185"/>
      <c r="R63" s="185"/>
      <c r="S63" s="185"/>
      <c r="T63" s="185"/>
      <c r="U63" s="324" t="s">
        <v>145</v>
      </c>
      <c r="V63" s="185"/>
      <c r="W63" s="185"/>
    </row>
    <row r="64" spans="1:23" ht="10.5" customHeight="1">
      <c r="A64" s="185"/>
      <c r="B64" s="185"/>
      <c r="C64" s="185"/>
      <c r="D64" s="185"/>
      <c r="E64" s="185"/>
      <c r="F64" s="185"/>
      <c r="G64" s="185"/>
      <c r="H64" s="185"/>
      <c r="I64" s="185"/>
      <c r="J64" s="185"/>
      <c r="K64" s="185"/>
      <c r="L64" s="185"/>
      <c r="M64" s="185"/>
      <c r="N64" s="185"/>
      <c r="O64" s="185"/>
      <c r="P64" s="185"/>
      <c r="Q64" s="185"/>
      <c r="R64" s="185"/>
      <c r="S64" s="185"/>
      <c r="T64" s="185"/>
      <c r="U64" s="185"/>
      <c r="V64" s="185"/>
      <c r="W64" s="185"/>
    </row>
    <row r="65" spans="1:24" ht="10.5" customHeight="1">
      <c r="A65" s="185"/>
      <c r="B65" s="185"/>
      <c r="C65" s="185"/>
      <c r="D65" s="185"/>
      <c r="E65" s="185"/>
      <c r="F65" s="185"/>
      <c r="G65" s="185"/>
      <c r="H65" s="185"/>
      <c r="I65" s="185"/>
      <c r="J65" s="185"/>
      <c r="K65" s="185"/>
      <c r="L65" s="185"/>
      <c r="M65" s="185"/>
      <c r="N65" s="185"/>
      <c r="O65" s="185"/>
      <c r="P65" s="185"/>
      <c r="Q65" s="185"/>
      <c r="R65" s="185"/>
      <c r="S65" s="185"/>
      <c r="T65" s="185"/>
      <c r="U65" s="185"/>
      <c r="V65" s="185"/>
      <c r="W65" s="185"/>
    </row>
    <row r="66" spans="1:24" ht="12" customHeight="1">
      <c r="A66" s="185"/>
      <c r="B66" s="185"/>
      <c r="C66" s="185"/>
      <c r="D66" s="185"/>
      <c r="E66" s="185"/>
      <c r="F66" s="185"/>
      <c r="G66" s="185"/>
      <c r="H66" s="185"/>
      <c r="I66" s="185"/>
      <c r="J66" s="185"/>
      <c r="K66" s="185"/>
      <c r="L66" s="185"/>
      <c r="M66" s="185"/>
      <c r="N66" s="185"/>
      <c r="O66" s="185"/>
      <c r="P66" s="185"/>
      <c r="Q66" s="185"/>
      <c r="R66" s="185"/>
      <c r="S66" s="185"/>
      <c r="T66" s="185"/>
      <c r="U66" s="185"/>
      <c r="V66" s="185"/>
      <c r="W66" s="185"/>
    </row>
    <row r="67" spans="1:24" ht="11.25" customHeight="1">
      <c r="A67" s="325" t="s">
        <v>146</v>
      </c>
      <c r="B67" s="185"/>
      <c r="C67" s="185"/>
      <c r="D67" s="185"/>
      <c r="E67" s="326"/>
      <c r="F67" s="326"/>
      <c r="G67" s="327"/>
      <c r="H67" s="327"/>
      <c r="I67" s="185"/>
      <c r="J67" s="185"/>
      <c r="K67" s="185"/>
      <c r="L67" s="185"/>
      <c r="M67" s="185"/>
      <c r="N67" s="185"/>
      <c r="O67" s="185"/>
      <c r="P67" s="185"/>
      <c r="Q67" s="185"/>
      <c r="R67" s="185"/>
      <c r="S67" s="185"/>
      <c r="T67" s="185"/>
      <c r="U67" s="185"/>
      <c r="V67" s="185"/>
      <c r="W67" s="185"/>
    </row>
    <row r="68" spans="1:24" ht="11.25" customHeight="1">
      <c r="A68" s="328"/>
      <c r="B68" s="185"/>
      <c r="C68" s="185"/>
      <c r="D68" s="185"/>
      <c r="E68" s="326"/>
      <c r="F68" s="326"/>
      <c r="G68" s="327"/>
      <c r="H68" s="327"/>
      <c r="I68" s="185"/>
      <c r="J68" s="185"/>
      <c r="K68" s="185"/>
      <c r="L68" s="185"/>
      <c r="M68" s="185"/>
      <c r="N68" s="185"/>
      <c r="O68" s="185"/>
      <c r="P68" s="185"/>
      <c r="Q68" s="185"/>
      <c r="R68" s="185"/>
      <c r="S68" s="185"/>
      <c r="T68" s="185"/>
      <c r="U68" s="185"/>
      <c r="V68" s="185"/>
      <c r="W68" s="185"/>
    </row>
    <row r="69" spans="1:24" s="2" customFormat="1" ht="11.25" customHeight="1">
      <c r="A69" s="176"/>
      <c r="C69" s="173"/>
    </row>
    <row r="70" spans="1:24" s="2" customFormat="1" ht="9.75" customHeight="1">
      <c r="A70" s="178"/>
      <c r="C70" s="150"/>
      <c r="D70" s="179" t="s">
        <v>121</v>
      </c>
      <c r="E70" s="178" t="s">
        <v>122</v>
      </c>
      <c r="F70" s="178"/>
      <c r="L70" s="179"/>
      <c r="M70" s="178"/>
      <c r="P70" s="180"/>
      <c r="Q70" s="178"/>
      <c r="R70" s="178"/>
      <c r="S70" s="178"/>
      <c r="T70" s="178"/>
      <c r="U70" s="178"/>
      <c r="V70" s="178"/>
      <c r="W70" s="178"/>
      <c r="X70" s="178"/>
    </row>
    <row r="71" spans="1:24" s="2" customFormat="1" ht="8.25" customHeight="1">
      <c r="A71" s="178"/>
      <c r="C71" s="150"/>
      <c r="D71" s="181"/>
      <c r="E71" s="181"/>
      <c r="M71" s="180"/>
      <c r="P71" s="178"/>
      <c r="Q71" s="178"/>
      <c r="R71" s="178"/>
      <c r="S71" s="178"/>
      <c r="T71" s="178"/>
      <c r="U71" s="178"/>
      <c r="V71" s="178"/>
      <c r="W71" s="178"/>
      <c r="X71" s="178"/>
    </row>
    <row r="72" spans="1:24">
      <c r="L72" s="329"/>
    </row>
  </sheetData>
  <pageMargins left="0.7" right="0.7" top="0.75" bottom="0.75" header="0.3" footer="0.3"/>
  <pageSetup paperSize="9" scale="71" orientation="portrait" r:id="rId1"/>
  <headerFooter alignWithMargins="0"/>
  <ignoredErrors>
    <ignoredError sqref="O4 O5:R8 T6" unlocked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X61"/>
  <sheetViews>
    <sheetView zoomScale="115" workbookViewId="0">
      <selection activeCell="M1" sqref="M1"/>
    </sheetView>
  </sheetViews>
  <sheetFormatPr baseColWidth="10" defaultColWidth="11.453125" defaultRowHeight="14.5"/>
  <cols>
    <col min="1" max="7" width="5.7265625" style="150" customWidth="1"/>
    <col min="8" max="8" width="6.7265625" style="150" customWidth="1"/>
    <col min="9" max="14" width="6.26953125" style="150" customWidth="1"/>
    <col min="15" max="15" width="7.08984375" style="150" customWidth="1"/>
    <col min="16" max="16" width="6.26953125" style="150" customWidth="1"/>
    <col min="17" max="26" width="5.7265625" style="150" customWidth="1"/>
    <col min="27" max="16384" width="11.453125" style="150"/>
  </cols>
  <sheetData>
    <row r="1" spans="1:24" ht="15" customHeight="1"/>
    <row r="2" spans="1:24" ht="15" customHeight="1"/>
    <row r="3" spans="1:24" ht="15" customHeight="1">
      <c r="H3" s="330" t="str">
        <f>+[1]Données!B6</f>
        <v xml:space="preserve">Vessel </v>
      </c>
      <c r="I3" s="331"/>
      <c r="J3" s="332"/>
      <c r="K3" s="377" t="str">
        <f>Input!H7</f>
        <v>ARKLOW RAIDER</v>
      </c>
      <c r="L3" s="376"/>
      <c r="M3" s="376"/>
      <c r="N3" s="376"/>
      <c r="O3" s="376"/>
      <c r="P3" s="333"/>
      <c r="Q3" s="334"/>
    </row>
    <row r="4" spans="1:24" ht="15" customHeight="1">
      <c r="H4" s="335" t="str">
        <f>+[1]Données!B8</f>
        <v>Cargo</v>
      </c>
      <c r="I4" s="336"/>
      <c r="J4" s="337"/>
      <c r="K4" s="379" t="str">
        <f>Input!H8</f>
        <v>PHOSPHATE</v>
      </c>
      <c r="L4" s="378"/>
      <c r="M4" s="378"/>
      <c r="N4" s="378"/>
      <c r="O4" s="378"/>
      <c r="P4" s="339"/>
      <c r="Q4" s="541"/>
    </row>
    <row r="5" spans="1:24" ht="15" customHeight="1">
      <c r="H5" s="335" t="s">
        <v>76</v>
      </c>
      <c r="I5" s="336"/>
      <c r="J5" s="337"/>
      <c r="K5" s="14">
        <f>Input!H11</f>
        <v>4000</v>
      </c>
      <c r="L5" s="14"/>
      <c r="M5" s="14" t="str">
        <f>IF(K5="","","MT  Dated")</f>
        <v>MT  Dated</v>
      </c>
      <c r="N5" s="14"/>
      <c r="O5" s="340">
        <f>Input!H13</f>
        <v>44763</v>
      </c>
      <c r="P5" s="341"/>
      <c r="Q5" s="342"/>
    </row>
    <row r="6" spans="1:24" ht="15" customHeight="1">
      <c r="H6" s="335" t="str">
        <f>+[1]Données!B12</f>
        <v>Port of Loading</v>
      </c>
      <c r="I6" s="336"/>
      <c r="J6" s="337"/>
      <c r="K6" s="379" t="str">
        <f>Input!H9</f>
        <v>CASABLANCA</v>
      </c>
      <c r="L6" s="378"/>
      <c r="M6" s="378"/>
      <c r="N6" s="378"/>
      <c r="O6" s="338"/>
      <c r="P6" s="339"/>
      <c r="Q6" s="541"/>
    </row>
    <row r="7" spans="1:24" ht="15" customHeight="1">
      <c r="H7" s="343" t="str">
        <f>+[1]Données!B14</f>
        <v>Port of Discharge</v>
      </c>
      <c r="I7" s="344"/>
      <c r="J7" s="345"/>
      <c r="K7" s="381" t="str">
        <f>Input!H10</f>
        <v>GLOMFJORD</v>
      </c>
      <c r="L7" s="380"/>
      <c r="M7" s="380"/>
      <c r="N7" s="380"/>
      <c r="O7" s="346"/>
      <c r="P7" s="347"/>
      <c r="Q7" s="541"/>
    </row>
    <row r="8" spans="1:24" ht="10.5" customHeight="1"/>
    <row r="9" spans="1:24" ht="10.5" customHeight="1">
      <c r="E9" s="542"/>
    </row>
    <row r="10" spans="1:24" ht="21" customHeight="1">
      <c r="E10" s="543" t="s">
        <v>123</v>
      </c>
      <c r="F10" s="543"/>
      <c r="G10" s="543"/>
      <c r="H10" s="543"/>
      <c r="I10" s="543"/>
      <c r="J10" s="543"/>
      <c r="K10" s="543"/>
      <c r="L10" s="543"/>
      <c r="M10" s="543"/>
      <c r="N10" s="542"/>
      <c r="O10" s="542"/>
      <c r="P10" s="544" t="s">
        <v>147</v>
      </c>
      <c r="R10" s="542"/>
      <c r="S10" s="542"/>
      <c r="X10" s="545"/>
    </row>
    <row r="11" spans="1:24" ht="21.75" customHeight="1">
      <c r="E11" s="546" t="s">
        <v>148</v>
      </c>
      <c r="F11" s="546"/>
      <c r="G11" s="546"/>
      <c r="H11" s="546"/>
      <c r="I11" s="546"/>
      <c r="J11" s="546"/>
      <c r="K11" s="546"/>
      <c r="L11" s="546"/>
      <c r="M11" s="546"/>
    </row>
    <row r="12" spans="1:24" ht="9" customHeight="1"/>
    <row r="13" spans="1:24" ht="14.25" customHeight="1">
      <c r="H13" s="547" t="s">
        <v>90</v>
      </c>
      <c r="I13" s="548" t="s">
        <v>1</v>
      </c>
      <c r="J13" s="549"/>
      <c r="K13" s="549"/>
      <c r="L13" s="550"/>
      <c r="M13" s="548" t="s">
        <v>2</v>
      </c>
      <c r="N13" s="549"/>
      <c r="O13" s="549"/>
      <c r="P13" s="550"/>
    </row>
    <row r="14" spans="1:24" ht="14.25" customHeight="1">
      <c r="A14" s="551" t="s">
        <v>149</v>
      </c>
      <c r="B14" s="24"/>
      <c r="C14" s="24"/>
      <c r="D14" s="24"/>
      <c r="E14" s="24"/>
      <c r="F14" s="24"/>
      <c r="G14" s="552"/>
      <c r="H14" s="553" t="s">
        <v>93</v>
      </c>
      <c r="I14" s="348">
        <f>DSReport!M32-DSReport!M27</f>
        <v>0.45000000000000107</v>
      </c>
      <c r="J14" s="349"/>
      <c r="K14" s="350" t="str">
        <f>IF($I14&lt;0,"A","F")</f>
        <v>F</v>
      </c>
      <c r="L14" s="351"/>
      <c r="M14" s="348">
        <f>DSReport!T32-DSReport!T27</f>
        <v>1.6400000000000001</v>
      </c>
      <c r="N14" s="349"/>
      <c r="O14" s="350"/>
      <c r="P14" s="351"/>
    </row>
    <row r="15" spans="1:24" ht="14.25" customHeight="1">
      <c r="A15" s="554" t="s">
        <v>150</v>
      </c>
      <c r="B15" s="555"/>
      <c r="C15" s="555"/>
      <c r="D15" s="555"/>
      <c r="E15" s="555"/>
      <c r="F15" s="555"/>
      <c r="G15" s="556"/>
      <c r="H15" s="557" t="s">
        <v>93</v>
      </c>
      <c r="I15" s="352">
        <f>Input!AP11</f>
        <v>-1.6</v>
      </c>
      <c r="J15" s="353"/>
      <c r="K15" s="354" t="str">
        <f>IF($I15&lt;0,"A","F")</f>
        <v>A</v>
      </c>
      <c r="L15" s="339"/>
      <c r="M15" s="352">
        <f>Input!AT11</f>
        <v>-1.6</v>
      </c>
      <c r="N15" s="353"/>
      <c r="O15" s="354"/>
      <c r="P15" s="339"/>
    </row>
    <row r="16" spans="1:24" ht="14.25" customHeight="1">
      <c r="A16" s="55" t="s">
        <v>151</v>
      </c>
      <c r="B16" s="558"/>
      <c r="C16" s="558"/>
      <c r="D16" s="558"/>
      <c r="E16" s="558"/>
      <c r="F16" s="558"/>
      <c r="G16" s="559"/>
      <c r="H16" s="557" t="s">
        <v>93</v>
      </c>
      <c r="I16" s="352">
        <f>Input!AP13</f>
        <v>0</v>
      </c>
      <c r="J16" s="353"/>
      <c r="K16" s="354" t="str">
        <f>IF($I16&lt;0,"A","F")</f>
        <v>F</v>
      </c>
      <c r="L16" s="339"/>
      <c r="M16" s="352">
        <f>Input!AT13</f>
        <v>-1.65</v>
      </c>
      <c r="N16" s="353"/>
      <c r="O16" s="354"/>
      <c r="P16" s="339"/>
    </row>
    <row r="17" spans="1:16" ht="14.25" customHeight="1">
      <c r="A17" s="55" t="s">
        <v>152</v>
      </c>
      <c r="B17" s="558"/>
      <c r="C17" s="558"/>
      <c r="D17" s="558"/>
      <c r="E17" s="558"/>
      <c r="F17" s="558"/>
      <c r="G17" s="559"/>
      <c r="H17" s="557" t="s">
        <v>93</v>
      </c>
      <c r="I17" s="352">
        <f>Input!AP15</f>
        <v>-1.8</v>
      </c>
      <c r="J17" s="353"/>
      <c r="K17" s="354" t="str">
        <f>IF($I17&lt;0,"A","F")</f>
        <v>A</v>
      </c>
      <c r="L17" s="339"/>
      <c r="M17" s="352">
        <f>Input!AT15</f>
        <v>0</v>
      </c>
      <c r="N17" s="353"/>
      <c r="O17" s="354"/>
      <c r="P17" s="339"/>
    </row>
    <row r="18" spans="1:16" ht="14.25" customHeight="1">
      <c r="A18" s="55" t="s">
        <v>153</v>
      </c>
      <c r="B18" s="558"/>
      <c r="C18" s="558"/>
      <c r="D18" s="558"/>
      <c r="E18" s="558"/>
      <c r="F18" s="558"/>
      <c r="G18" s="559"/>
      <c r="H18" s="557" t="s">
        <v>93</v>
      </c>
      <c r="I18" s="362">
        <f>(I14*I15)/Input!AP25</f>
        <v>-6.9164265129683161E-3</v>
      </c>
      <c r="J18" s="363"/>
      <c r="K18" s="357"/>
      <c r="L18" s="339"/>
      <c r="M18" s="362">
        <f>($M$14*M15)/Input!$AT$25</f>
        <v>-2.5650048875855331E-2</v>
      </c>
      <c r="N18" s="363"/>
      <c r="O18" s="338"/>
      <c r="P18" s="339"/>
    </row>
    <row r="19" spans="1:16" ht="14.25" customHeight="1">
      <c r="A19" s="55" t="s">
        <v>154</v>
      </c>
      <c r="B19" s="558"/>
      <c r="C19" s="558"/>
      <c r="D19" s="558"/>
      <c r="E19" s="558"/>
      <c r="F19" s="558"/>
      <c r="G19" s="559"/>
      <c r="H19" s="557" t="s">
        <v>93</v>
      </c>
      <c r="I19" s="362">
        <f>(I14*I16)/Input!AP25</f>
        <v>0</v>
      </c>
      <c r="J19" s="363"/>
      <c r="K19" s="357"/>
      <c r="L19" s="339"/>
      <c r="M19" s="362">
        <f>($M$14*M16)/Input!$AT$25</f>
        <v>-2.6451612903225803E-2</v>
      </c>
      <c r="N19" s="363"/>
      <c r="O19" s="338"/>
      <c r="P19" s="339"/>
    </row>
    <row r="20" spans="1:16" ht="14.25" customHeight="1">
      <c r="A20" s="55" t="s">
        <v>155</v>
      </c>
      <c r="B20" s="558"/>
      <c r="C20" s="558"/>
      <c r="D20" s="558"/>
      <c r="E20" s="558"/>
      <c r="F20" s="558"/>
      <c r="G20" s="559"/>
      <c r="H20" s="557" t="s">
        <v>93</v>
      </c>
      <c r="I20" s="362">
        <f>(I14*I17)/Input!AP25</f>
        <v>-7.7809798270893548E-3</v>
      </c>
      <c r="J20" s="363"/>
      <c r="K20" s="357"/>
      <c r="L20" s="339"/>
      <c r="M20" s="362">
        <f>($M$14*M17)/Input!$AT$25</f>
        <v>0</v>
      </c>
      <c r="N20" s="363"/>
      <c r="O20" s="338"/>
      <c r="P20" s="339"/>
    </row>
    <row r="21" spans="1:16" ht="14.25" customHeight="1">
      <c r="A21" s="55" t="s">
        <v>156</v>
      </c>
      <c r="B21" s="558"/>
      <c r="C21" s="558"/>
      <c r="D21" s="558"/>
      <c r="E21" s="558"/>
      <c r="F21" s="558"/>
      <c r="G21" s="559"/>
      <c r="H21" s="557" t="s">
        <v>93</v>
      </c>
      <c r="I21" s="362">
        <f>DSReport!M29</f>
        <v>5.5130835734870312</v>
      </c>
      <c r="J21" s="363"/>
      <c r="K21" s="357"/>
      <c r="L21" s="339"/>
      <c r="M21" s="362">
        <f>DSReport!T29</f>
        <v>2.3343499511241443</v>
      </c>
      <c r="N21" s="363"/>
      <c r="O21" s="338"/>
      <c r="P21" s="339"/>
    </row>
    <row r="22" spans="1:16" ht="14.25" customHeight="1">
      <c r="A22" s="55" t="s">
        <v>157</v>
      </c>
      <c r="B22" s="558"/>
      <c r="C22" s="558"/>
      <c r="D22" s="558"/>
      <c r="E22" s="558"/>
      <c r="F22" s="558"/>
      <c r="G22" s="559"/>
      <c r="H22" s="557" t="s">
        <v>93</v>
      </c>
      <c r="I22" s="362">
        <f>DSReport!M39</f>
        <v>5.77</v>
      </c>
      <c r="J22" s="363"/>
      <c r="K22" s="357"/>
      <c r="L22" s="339"/>
      <c r="M22" s="362">
        <f>DSReport!T39</f>
        <v>3.1885483870967741</v>
      </c>
      <c r="N22" s="363"/>
      <c r="O22" s="338"/>
      <c r="P22" s="339"/>
    </row>
    <row r="23" spans="1:16" ht="14.25" customHeight="1">
      <c r="A23" s="55" t="s">
        <v>158</v>
      </c>
      <c r="B23" s="558"/>
      <c r="C23" s="558"/>
      <c r="D23" s="558"/>
      <c r="E23" s="558"/>
      <c r="F23" s="558"/>
      <c r="G23" s="559"/>
      <c r="H23" s="557" t="s">
        <v>93</v>
      </c>
      <c r="I23" s="362">
        <f>DSReport!M34</f>
        <v>5.9722190201729113</v>
      </c>
      <c r="J23" s="363"/>
      <c r="K23" s="357"/>
      <c r="L23" s="339"/>
      <c r="M23" s="362">
        <f>DSReport!T34</f>
        <v>4</v>
      </c>
      <c r="N23" s="363"/>
      <c r="O23" s="338"/>
      <c r="P23" s="339"/>
    </row>
    <row r="24" spans="1:16" ht="14.25" customHeight="1">
      <c r="A24" s="55" t="s">
        <v>159</v>
      </c>
      <c r="B24" s="558"/>
      <c r="C24" s="558"/>
      <c r="D24" s="558"/>
      <c r="E24" s="558"/>
      <c r="F24" s="558"/>
      <c r="G24" s="559"/>
      <c r="H24" s="557" t="s">
        <v>93</v>
      </c>
      <c r="I24" s="355">
        <f>I23-I21</f>
        <v>0.45913544668588013</v>
      </c>
      <c r="J24" s="354" t="str">
        <f>IF($I24&gt;0,"A","F")</f>
        <v>A</v>
      </c>
      <c r="L24" s="339"/>
      <c r="M24" s="355">
        <f>M23-M21</f>
        <v>1.6656500488758557</v>
      </c>
      <c r="N24" s="354" t="str">
        <f>IF($M24&gt;0,"A","F")</f>
        <v>A</v>
      </c>
      <c r="P24" s="339"/>
    </row>
    <row r="25" spans="1:16" ht="14.25" customHeight="1">
      <c r="A25" s="55" t="s">
        <v>160</v>
      </c>
      <c r="B25" s="558"/>
      <c r="C25" s="558"/>
      <c r="D25" s="558"/>
      <c r="E25" s="558"/>
      <c r="F25" s="558"/>
      <c r="G25" s="559"/>
      <c r="H25" s="557" t="s">
        <v>93</v>
      </c>
      <c r="I25" s="362">
        <f>DSReport!M42</f>
        <v>5.7629999999999999</v>
      </c>
      <c r="J25" s="363"/>
      <c r="K25" s="357"/>
      <c r="L25" s="339"/>
      <c r="M25" s="362">
        <f>DSReport!T42</f>
        <v>3.1832050342130986</v>
      </c>
      <c r="N25" s="363"/>
      <c r="O25" s="338"/>
      <c r="P25" s="339"/>
    </row>
    <row r="26" spans="1:16" ht="14.25" customHeight="1">
      <c r="A26" s="55" t="s">
        <v>161</v>
      </c>
      <c r="B26" s="558"/>
      <c r="C26" s="558"/>
      <c r="D26" s="558"/>
      <c r="E26" s="558"/>
      <c r="F26" s="558"/>
      <c r="G26" s="559"/>
      <c r="H26" s="557" t="s">
        <v>93</v>
      </c>
      <c r="I26" s="362">
        <f>ABS(DSReport!M40-DSReport!M39)</f>
        <v>2.7348703170028799E-2</v>
      </c>
      <c r="J26" s="363"/>
      <c r="K26" s="357"/>
      <c r="L26" s="339"/>
      <c r="M26" s="362">
        <f>ABS(DSReport!T40-DSReport!T39)</f>
        <v>2.1373411534701958E-2</v>
      </c>
      <c r="N26" s="363"/>
      <c r="O26" s="338"/>
      <c r="P26" s="339"/>
    </row>
    <row r="27" spans="1:16" ht="14.25" customHeight="1">
      <c r="A27" s="560" t="s">
        <v>162</v>
      </c>
      <c r="B27" s="561"/>
      <c r="C27" s="561"/>
      <c r="D27" s="561"/>
      <c r="E27" s="561"/>
      <c r="F27" s="561"/>
      <c r="G27" s="562"/>
      <c r="H27" s="563" t="s">
        <v>163</v>
      </c>
      <c r="I27" s="359" t="str">
        <f>IF((DSReport!M40-DSReport!M39)&lt;0,"Saging","Hoging")</f>
        <v>Saging</v>
      </c>
      <c r="J27" s="360"/>
      <c r="K27" s="346"/>
      <c r="L27" s="347"/>
      <c r="M27" s="359" t="str">
        <f>IF((DSReport!T40-DSReport!T39)&lt;0,"Saging","Hoging")</f>
        <v>Saging</v>
      </c>
      <c r="N27" s="360"/>
      <c r="O27" s="346"/>
      <c r="P27" s="347"/>
    </row>
    <row r="28" spans="1:16" ht="14.25" customHeight="1">
      <c r="A28" s="551" t="s">
        <v>164</v>
      </c>
      <c r="B28" s="564"/>
      <c r="C28" s="564"/>
      <c r="D28" s="564"/>
      <c r="E28" s="564"/>
      <c r="F28" s="564"/>
      <c r="G28" s="565"/>
      <c r="H28" s="553" t="s">
        <v>106</v>
      </c>
      <c r="I28" s="684">
        <f>DSReport!L43</f>
        <v>9754.81</v>
      </c>
      <c r="J28" s="685"/>
      <c r="K28" s="539"/>
      <c r="L28" s="540"/>
      <c r="M28" s="684">
        <f>HydroTable!O4</f>
        <v>5071.4399999999996</v>
      </c>
      <c r="N28" s="685"/>
      <c r="O28" s="361"/>
      <c r="P28" s="351"/>
    </row>
    <row r="29" spans="1:16" ht="14.25" customHeight="1">
      <c r="A29" s="55" t="s">
        <v>71</v>
      </c>
      <c r="B29" s="558"/>
      <c r="C29" s="558"/>
      <c r="D29" s="558"/>
      <c r="E29" s="558"/>
      <c r="F29" s="558"/>
      <c r="G29" s="559"/>
      <c r="H29" s="557" t="s">
        <v>93</v>
      </c>
      <c r="I29" s="362">
        <f>(HydroTable!K4)</f>
        <v>-1.619</v>
      </c>
      <c r="J29" s="363"/>
      <c r="K29" s="364"/>
      <c r="L29" s="339"/>
      <c r="M29" s="362">
        <f>HydroTable!Q4</f>
        <v>-4.2460000000000004</v>
      </c>
      <c r="N29" s="356"/>
      <c r="O29" s="338"/>
      <c r="P29" s="339"/>
    </row>
    <row r="30" spans="1:16" ht="14.25" customHeight="1">
      <c r="A30" s="55" t="s">
        <v>165</v>
      </c>
      <c r="B30" s="558"/>
      <c r="C30" s="558"/>
      <c r="D30" s="558"/>
      <c r="E30" s="558"/>
      <c r="F30" s="558"/>
      <c r="G30" s="559"/>
      <c r="H30" s="566" t="s">
        <v>163</v>
      </c>
      <c r="I30" s="365"/>
      <c r="J30" s="354" t="str">
        <f>IF(I29&lt;0,"F","A")</f>
        <v>F</v>
      </c>
      <c r="L30" s="339"/>
      <c r="M30" s="365"/>
      <c r="N30" s="354" t="str">
        <f>IF(M29&lt;0,"F","A")</f>
        <v>F</v>
      </c>
      <c r="P30" s="339"/>
    </row>
    <row r="31" spans="1:16" ht="14.25" customHeight="1">
      <c r="A31" s="55" t="s">
        <v>70</v>
      </c>
      <c r="B31" s="558"/>
      <c r="C31" s="558"/>
      <c r="D31" s="558"/>
      <c r="E31" s="558"/>
      <c r="F31" s="558"/>
      <c r="G31" s="559"/>
      <c r="H31" s="557" t="s">
        <v>166</v>
      </c>
      <c r="I31" s="365">
        <f>HydroTable!J4</f>
        <v>18.739999999999998</v>
      </c>
      <c r="J31" s="356"/>
      <c r="K31" s="364"/>
      <c r="L31" s="339"/>
      <c r="M31" s="355">
        <f>HydroTable!P4</f>
        <v>17.649999999999999</v>
      </c>
      <c r="N31" s="358"/>
      <c r="O31" s="338"/>
      <c r="P31" s="366"/>
    </row>
    <row r="32" spans="1:16" ht="14.25" customHeight="1">
      <c r="A32" s="55" t="s">
        <v>167</v>
      </c>
      <c r="B32" s="558"/>
      <c r="C32" s="558"/>
      <c r="D32" s="558"/>
      <c r="E32" s="558"/>
      <c r="F32" s="558"/>
      <c r="G32" s="559"/>
      <c r="H32" s="557" t="s">
        <v>106</v>
      </c>
      <c r="I32" s="365">
        <f>HydroTable!L9</f>
        <v>136.19999999999999</v>
      </c>
      <c r="J32" s="356"/>
      <c r="K32" s="364"/>
      <c r="L32" s="339"/>
      <c r="M32" s="682">
        <f>HydroTable!R9</f>
        <v>113.88</v>
      </c>
      <c r="N32" s="683"/>
      <c r="O32" s="338"/>
      <c r="P32" s="339"/>
    </row>
    <row r="33" spans="1:16" ht="14.25" customHeight="1">
      <c r="A33" s="55" t="s">
        <v>168</v>
      </c>
      <c r="B33" s="558"/>
      <c r="C33" s="558"/>
      <c r="D33" s="558"/>
      <c r="E33" s="558"/>
      <c r="F33" s="558"/>
      <c r="G33" s="559"/>
      <c r="H33" s="557" t="s">
        <v>106</v>
      </c>
      <c r="I33" s="365">
        <f>HydroTable!L14</f>
        <v>125.55</v>
      </c>
      <c r="J33" s="356"/>
      <c r="K33" s="364"/>
      <c r="L33" s="339"/>
      <c r="M33" s="682">
        <f>HydroTable!R14</f>
        <v>301.26</v>
      </c>
      <c r="N33" s="683"/>
      <c r="O33" s="338"/>
      <c r="P33" s="339"/>
    </row>
    <row r="34" spans="1:16" ht="14.25" customHeight="1">
      <c r="A34" s="567" t="s">
        <v>169</v>
      </c>
      <c r="B34" s="568"/>
      <c r="C34" s="568"/>
      <c r="D34" s="568"/>
      <c r="E34" s="568"/>
      <c r="F34" s="568"/>
      <c r="G34" s="569"/>
      <c r="H34" s="570" t="s">
        <v>106</v>
      </c>
      <c r="I34" s="416">
        <f>I32-I33</f>
        <v>10.649999999999991</v>
      </c>
      <c r="J34" s="417"/>
      <c r="K34" s="418"/>
      <c r="L34" s="419"/>
      <c r="M34" s="686">
        <f>M32-M33</f>
        <v>-187.38</v>
      </c>
      <c r="N34" s="687"/>
      <c r="O34" s="346"/>
      <c r="P34" s="347"/>
    </row>
    <row r="35" spans="1:16" ht="14.25" customHeight="1">
      <c r="A35" s="554" t="s">
        <v>170</v>
      </c>
      <c r="B35" s="571"/>
      <c r="C35" s="571"/>
      <c r="D35" s="571"/>
      <c r="E35" s="571"/>
      <c r="F35" s="571"/>
      <c r="G35" s="572"/>
      <c r="H35" s="553" t="s">
        <v>106</v>
      </c>
      <c r="I35" s="420">
        <f>(I24*I31*I29*100)/Input!AP23</f>
        <v>-13.407311838860831</v>
      </c>
      <c r="J35" s="421"/>
      <c r="K35" s="422"/>
      <c r="L35" s="423"/>
      <c r="M35" s="684">
        <f>(M24*100*M29*M31)/Input!AP23</f>
        <v>-120.14146236559141</v>
      </c>
      <c r="N35" s="685"/>
      <c r="O35" s="361"/>
      <c r="P35" s="367"/>
    </row>
    <row r="36" spans="1:16" ht="14.25" customHeight="1">
      <c r="A36" s="55" t="s">
        <v>171</v>
      </c>
      <c r="B36" s="558"/>
      <c r="C36" s="558"/>
      <c r="D36" s="558"/>
      <c r="E36" s="558"/>
      <c r="F36" s="558"/>
      <c r="G36" s="559"/>
      <c r="H36" s="557" t="s">
        <v>106</v>
      </c>
      <c r="I36" s="355">
        <f>(I24*I24*50*I34)/Input!AP23</f>
        <v>1.0804028233862668</v>
      </c>
      <c r="J36" s="358"/>
      <c r="K36" s="357"/>
      <c r="L36" s="424"/>
      <c r="M36" s="682">
        <f>(M24*M24*50*M34)/Input!AP23</f>
        <v>-250.17575273690466</v>
      </c>
      <c r="N36" s="683"/>
      <c r="O36" s="338"/>
      <c r="P36" s="339"/>
    </row>
    <row r="37" spans="1:16" ht="14.25" customHeight="1">
      <c r="A37" s="55" t="s">
        <v>172</v>
      </c>
      <c r="B37" s="558"/>
      <c r="C37" s="558"/>
      <c r="D37" s="558"/>
      <c r="E37" s="558"/>
      <c r="F37" s="558"/>
      <c r="G37" s="559"/>
      <c r="H37" s="557" t="s">
        <v>106</v>
      </c>
      <c r="I37" s="355">
        <f>I35+I36</f>
        <v>-12.326909015474564</v>
      </c>
      <c r="J37" s="358"/>
      <c r="K37" s="357"/>
      <c r="L37" s="424"/>
      <c r="M37" s="682">
        <f>M35+M36</f>
        <v>-370.31721510249605</v>
      </c>
      <c r="N37" s="683"/>
      <c r="O37" s="338"/>
      <c r="P37" s="339"/>
    </row>
    <row r="38" spans="1:16" ht="14.25" customHeight="1">
      <c r="A38" s="55" t="s">
        <v>173</v>
      </c>
      <c r="B38" s="558"/>
      <c r="C38" s="558"/>
      <c r="D38" s="558"/>
      <c r="E38" s="558"/>
      <c r="F38" s="558"/>
      <c r="G38" s="559"/>
      <c r="H38" s="557" t="s">
        <v>111</v>
      </c>
      <c r="I38" s="362">
        <f>Input!AP40</f>
        <v>1.0229999999999999</v>
      </c>
      <c r="J38" s="356"/>
      <c r="K38" s="364"/>
      <c r="L38" s="339"/>
      <c r="M38" s="362">
        <f>Input!AT40</f>
        <v>1.0249999999999999</v>
      </c>
      <c r="N38" s="356"/>
      <c r="O38" s="338"/>
      <c r="P38" s="339"/>
    </row>
    <row r="39" spans="1:16" ht="14.25" customHeight="1">
      <c r="A39" s="55" t="s">
        <v>174</v>
      </c>
      <c r="B39" s="558"/>
      <c r="C39" s="558"/>
      <c r="D39" s="558"/>
      <c r="E39" s="558"/>
      <c r="F39" s="558"/>
      <c r="G39" s="559"/>
      <c r="H39" s="570" t="s">
        <v>106</v>
      </c>
      <c r="I39" s="416">
        <f>IF(Input!AP40="","",+(I38/Input!AP39-1)*I28)</f>
        <v>-19.033775609756113</v>
      </c>
      <c r="J39" s="417"/>
      <c r="K39" s="418"/>
      <c r="L39" s="424"/>
      <c r="M39" s="538">
        <f>IF(Input!AT40="","",+(Details!M38/Input!AT39-1)*M28)</f>
        <v>0</v>
      </c>
      <c r="N39" s="417"/>
      <c r="O39" s="346"/>
      <c r="P39" s="339"/>
    </row>
    <row r="40" spans="1:16" ht="14.25" customHeight="1">
      <c r="A40" s="551" t="s">
        <v>175</v>
      </c>
      <c r="B40" s="564"/>
      <c r="C40" s="564"/>
      <c r="D40" s="564"/>
      <c r="E40" s="564"/>
      <c r="F40" s="564"/>
      <c r="G40" s="565"/>
      <c r="H40" s="553"/>
      <c r="I40" s="426"/>
      <c r="J40" s="422"/>
      <c r="K40" s="422"/>
      <c r="L40" s="425"/>
      <c r="M40" s="420"/>
      <c r="N40" s="421"/>
      <c r="O40" s="361"/>
      <c r="P40" s="351"/>
    </row>
    <row r="41" spans="1:16" ht="14.25" customHeight="1">
      <c r="A41" s="560" t="s">
        <v>176</v>
      </c>
      <c r="B41" s="561"/>
      <c r="C41" s="561"/>
      <c r="D41" s="561"/>
      <c r="E41" s="561"/>
      <c r="F41" s="561"/>
      <c r="G41" s="562"/>
      <c r="H41" s="557" t="s">
        <v>106</v>
      </c>
      <c r="I41" s="682">
        <f>Input!AP33</f>
        <v>525.66300000000001</v>
      </c>
      <c r="J41" s="683"/>
      <c r="K41" s="357"/>
      <c r="L41" s="424"/>
      <c r="M41" s="682">
        <f>Input!AT33</f>
        <v>1312.8009999999999</v>
      </c>
      <c r="N41" s="683"/>
      <c r="O41" s="338"/>
      <c r="P41" s="339"/>
    </row>
    <row r="42" spans="1:16" ht="14.25" customHeight="1">
      <c r="A42" s="560" t="s">
        <v>177</v>
      </c>
      <c r="B42" s="561"/>
      <c r="C42" s="561"/>
      <c r="D42" s="561"/>
      <c r="E42" s="561"/>
      <c r="F42" s="561"/>
      <c r="G42" s="562"/>
      <c r="H42" s="557" t="s">
        <v>106</v>
      </c>
      <c r="I42" s="355">
        <f>Input!AP35</f>
        <v>39.5</v>
      </c>
      <c r="J42" s="358"/>
      <c r="K42" s="357"/>
      <c r="L42" s="424"/>
      <c r="M42" s="355">
        <f>Input!AT35</f>
        <v>39.5</v>
      </c>
      <c r="N42" s="358"/>
      <c r="O42" s="364"/>
      <c r="P42" s="339"/>
    </row>
    <row r="43" spans="1:16" ht="14.25" customHeight="1">
      <c r="A43" s="560" t="s">
        <v>139</v>
      </c>
      <c r="B43" s="561"/>
      <c r="C43" s="561"/>
      <c r="D43" s="561"/>
      <c r="E43" s="561"/>
      <c r="F43" s="561"/>
      <c r="G43" s="562"/>
      <c r="H43" s="557" t="s">
        <v>106</v>
      </c>
      <c r="I43" s="682">
        <f>SUM(Input!AP27:AS31)</f>
        <v>144.88299999999998</v>
      </c>
      <c r="J43" s="683"/>
      <c r="K43" s="357"/>
      <c r="L43" s="424"/>
      <c r="M43" s="682">
        <f>SUM(Input!AT27:AW31)</f>
        <v>138.98299999999998</v>
      </c>
      <c r="N43" s="683"/>
      <c r="O43" s="338"/>
      <c r="P43" s="339"/>
    </row>
    <row r="44" spans="1:16" ht="14.25" customHeight="1">
      <c r="A44" s="560" t="s">
        <v>178</v>
      </c>
      <c r="B44" s="561"/>
      <c r="C44" s="561"/>
      <c r="D44" s="561"/>
      <c r="E44" s="561"/>
      <c r="F44" s="561"/>
      <c r="G44" s="562"/>
      <c r="H44" s="557" t="s">
        <v>106</v>
      </c>
      <c r="I44" s="355">
        <f>Input!AP37</f>
        <v>0.9</v>
      </c>
      <c r="J44" s="358"/>
      <c r="K44" s="357"/>
      <c r="L44" s="424"/>
      <c r="M44" s="355">
        <f>Input!AT37</f>
        <v>0.9</v>
      </c>
      <c r="N44" s="358"/>
      <c r="O44" s="338"/>
      <c r="P44" s="339"/>
    </row>
    <row r="45" spans="1:16" ht="14.25" customHeight="1">
      <c r="A45" s="560"/>
      <c r="B45" s="561"/>
      <c r="C45" s="561" t="str">
        <f>IF([1]Données!D141="","",[1]Données!D141)</f>
        <v/>
      </c>
      <c r="D45" s="561"/>
      <c r="E45" s="561"/>
      <c r="F45" s="561"/>
      <c r="G45" s="562"/>
      <c r="H45" s="557"/>
      <c r="K45" s="364"/>
      <c r="L45" s="339"/>
      <c r="M45" s="362"/>
      <c r="N45" s="356"/>
      <c r="O45" s="338"/>
      <c r="P45" s="339"/>
    </row>
    <row r="46" spans="1:16" ht="14.25" customHeight="1">
      <c r="A46" s="560" t="s">
        <v>179</v>
      </c>
      <c r="B46" s="561"/>
      <c r="C46" s="561"/>
      <c r="D46" s="561"/>
      <c r="E46" s="561"/>
      <c r="F46" s="561"/>
      <c r="G46" s="562"/>
      <c r="H46" s="557" t="s">
        <v>106</v>
      </c>
      <c r="I46" s="520">
        <f>SUM(I41:J45)</f>
        <v>710.94600000000003</v>
      </c>
      <c r="J46" s="521"/>
      <c r="K46" s="357"/>
      <c r="L46" s="424"/>
      <c r="M46" s="520">
        <f>SUM(M41:N45)</f>
        <v>1492.184</v>
      </c>
      <c r="N46" s="521"/>
      <c r="O46" s="338"/>
      <c r="P46" s="339"/>
    </row>
    <row r="47" spans="1:16" ht="14.25" customHeight="1">
      <c r="A47" s="567" t="s">
        <v>180</v>
      </c>
      <c r="B47" s="568"/>
      <c r="C47" s="568"/>
      <c r="D47" s="568"/>
      <c r="E47" s="568"/>
      <c r="F47" s="568"/>
      <c r="G47" s="569"/>
      <c r="H47" s="570" t="s">
        <v>106</v>
      </c>
      <c r="I47" s="522">
        <f>IF(I46="","",+I28+I35+I36+I39-I46)</f>
        <v>9012.50331537477</v>
      </c>
      <c r="J47" s="523"/>
      <c r="K47" s="418"/>
      <c r="L47" s="419"/>
      <c r="M47" s="522">
        <f>IF(M46="","",+M28+M35+M36+M39-M46)</f>
        <v>3208.9387848975039</v>
      </c>
      <c r="N47" s="523"/>
      <c r="O47" s="346"/>
      <c r="P47" s="347"/>
    </row>
    <row r="48" spans="1:16" ht="8.25" customHeight="1">
      <c r="A48" s="573"/>
      <c r="B48" s="573"/>
      <c r="C48" s="573"/>
      <c r="D48" s="573"/>
      <c r="E48" s="573"/>
      <c r="F48" s="573"/>
      <c r="G48" s="573"/>
      <c r="H48" s="574"/>
      <c r="I48" s="574"/>
      <c r="J48" s="574"/>
      <c r="K48" s="574"/>
      <c r="M48" s="574"/>
      <c r="N48" s="574"/>
      <c r="O48" s="574"/>
      <c r="P48" s="574"/>
    </row>
    <row r="49" spans="1:24" ht="14.25" customHeight="1">
      <c r="A49" s="575" t="str">
        <f>IF(H49="","Total Cargo Un/loaded",IF(I47-M47&lt;0,"Total Cargo Loaded","Total Cargo Discharged"))</f>
        <v>Total Cargo Discharged</v>
      </c>
      <c r="B49" s="576"/>
      <c r="C49" s="576"/>
      <c r="D49" s="576"/>
      <c r="E49" s="576"/>
      <c r="F49" s="576"/>
      <c r="G49" s="577"/>
      <c r="H49" s="527">
        <f>IF(M47="","",ROUND(+ABS(I47-M47),3))</f>
        <v>5803.5649999999996</v>
      </c>
      <c r="I49" s="526"/>
      <c r="J49" s="526"/>
      <c r="K49" s="368" t="str">
        <f>IF(H49="","","MT")</f>
        <v>MT</v>
      </c>
      <c r="N49" s="578" t="s">
        <v>181</v>
      </c>
      <c r="O49" s="524">
        <f>Input!AP42</f>
        <v>90</v>
      </c>
      <c r="P49" s="525"/>
    </row>
    <row r="50" spans="1:24" ht="14.25" customHeight="1">
      <c r="A50" s="579"/>
      <c r="B50" s="580"/>
      <c r="C50" s="580"/>
      <c r="D50" s="580"/>
      <c r="E50" s="580"/>
      <c r="F50" s="580"/>
      <c r="G50" s="581"/>
      <c r="H50" s="369"/>
      <c r="I50" s="369"/>
      <c r="J50" s="369"/>
      <c r="K50" s="370"/>
      <c r="N50" s="578" t="s">
        <v>182</v>
      </c>
      <c r="O50" s="524">
        <f>I47-Input!AP41</f>
        <v>6026.00331537477</v>
      </c>
      <c r="P50" s="525"/>
    </row>
    <row r="51" spans="1:24" ht="9" customHeight="1"/>
    <row r="52" spans="1:24" s="582" customFormat="1" ht="13.5" customHeight="1">
      <c r="D52" s="583" t="s">
        <v>117</v>
      </c>
      <c r="F52" s="584"/>
      <c r="G52" s="584"/>
      <c r="H52" s="585"/>
      <c r="L52" s="585"/>
      <c r="M52" s="585"/>
      <c r="N52" s="585"/>
      <c r="O52" s="585"/>
      <c r="P52" s="583" t="s">
        <v>118</v>
      </c>
      <c r="Q52" s="585"/>
    </row>
    <row r="53" spans="1:24" s="582" customFormat="1" ht="9" customHeight="1"/>
    <row r="54" spans="1:24" s="582" customFormat="1" ht="9" customHeight="1"/>
    <row r="55" spans="1:24" s="582" customFormat="1" ht="9" customHeight="1"/>
    <row r="56" spans="1:24" s="582" customFormat="1" ht="9" customHeight="1"/>
    <row r="57" spans="1:24" s="582" customFormat="1" ht="9" customHeight="1"/>
    <row r="58" spans="1:24" ht="11.25" customHeight="1">
      <c r="A58" s="586" t="s">
        <v>120</v>
      </c>
      <c r="E58" s="587"/>
      <c r="F58" s="587"/>
      <c r="G58" s="584"/>
      <c r="H58" s="584"/>
    </row>
    <row r="59" spans="1:24" ht="11.25" customHeight="1">
      <c r="A59" s="588"/>
      <c r="C59" s="584"/>
    </row>
    <row r="60" spans="1:24" ht="9.75" customHeight="1">
      <c r="A60" s="589"/>
      <c r="C60" s="329" t="s">
        <v>121</v>
      </c>
      <c r="D60" s="590" t="s">
        <v>183</v>
      </c>
      <c r="F60" s="589"/>
      <c r="L60" s="329"/>
      <c r="M60" s="589"/>
      <c r="P60" s="591"/>
      <c r="Q60" s="589"/>
      <c r="R60" s="589"/>
      <c r="S60" s="589"/>
      <c r="T60" s="589"/>
      <c r="U60" s="589"/>
      <c r="V60" s="589"/>
      <c r="W60" s="589"/>
      <c r="X60" s="589"/>
    </row>
    <row r="61" spans="1:24" ht="8.25" customHeight="1">
      <c r="A61" s="589"/>
      <c r="C61" s="592"/>
      <c r="D61" s="592"/>
      <c r="E61" s="589"/>
      <c r="M61" s="591"/>
      <c r="P61" s="589"/>
      <c r="Q61" s="589"/>
      <c r="R61" s="589"/>
      <c r="S61" s="589"/>
      <c r="T61" s="589"/>
      <c r="U61" s="589"/>
      <c r="V61" s="589"/>
      <c r="W61" s="589"/>
      <c r="X61" s="589"/>
    </row>
  </sheetData>
  <mergeCells count="12">
    <mergeCell ref="M41:N41"/>
    <mergeCell ref="I41:J41"/>
    <mergeCell ref="M43:N43"/>
    <mergeCell ref="I43:J43"/>
    <mergeCell ref="I28:J28"/>
    <mergeCell ref="M28:N28"/>
    <mergeCell ref="M32:N32"/>
    <mergeCell ref="M33:N33"/>
    <mergeCell ref="M34:N34"/>
    <mergeCell ref="M35:N35"/>
    <mergeCell ref="M36:N36"/>
    <mergeCell ref="M37:N37"/>
  </mergeCells>
  <pageMargins left="0.7" right="0.7" top="0.75" bottom="0.75" header="0.3" footer="0.3"/>
  <pageSetup paperSize="9" scale="80" orientation="portrait" r:id="rId1"/>
  <headerFooter alignWithMargins="0"/>
  <colBreaks count="1" manualBreakCount="1">
    <brk id="18" max="1048575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/>
  <dimension ref="B4:W84"/>
  <sheetViews>
    <sheetView showRowColHeaders="0" showRuler="0" workbookViewId="0">
      <selection activeCell="A11" sqref="A11"/>
    </sheetView>
  </sheetViews>
  <sheetFormatPr baseColWidth="10" defaultRowHeight="14.5"/>
  <cols>
    <col min="2" max="2" width="12.1796875" customWidth="1"/>
    <col min="3" max="3" width="11.36328125" customWidth="1"/>
    <col min="4" max="4" width="11.1796875" customWidth="1"/>
    <col min="7" max="7" width="6.81640625" customWidth="1"/>
    <col min="8" max="8" width="4.453125" customWidth="1"/>
    <col min="9" max="9" width="3.54296875" customWidth="1"/>
    <col min="13" max="13" width="9" customWidth="1"/>
    <col min="14" max="14" width="15.26953125" customWidth="1"/>
    <col min="15" max="15" width="12.36328125" customWidth="1"/>
    <col min="16" max="16" width="6.90625" customWidth="1"/>
    <col min="18" max="18" width="11.7265625" customWidth="1"/>
    <col min="21" max="21" width="17.90625" customWidth="1"/>
  </cols>
  <sheetData>
    <row r="4" spans="2:14" ht="21">
      <c r="B4" s="434" t="s">
        <v>184</v>
      </c>
      <c r="C4" s="434"/>
      <c r="D4" s="434"/>
      <c r="E4" s="434"/>
      <c r="F4" s="434"/>
      <c r="G4" s="434"/>
      <c r="H4" s="434"/>
      <c r="I4" s="434"/>
      <c r="J4" s="434" t="s">
        <v>185</v>
      </c>
      <c r="K4" s="434"/>
      <c r="L4" s="434"/>
      <c r="M4" s="435"/>
      <c r="N4" s="435"/>
    </row>
    <row r="6" spans="2:14">
      <c r="B6" t="s">
        <v>186</v>
      </c>
      <c r="D6">
        <v>10.07</v>
      </c>
      <c r="E6" t="s">
        <v>187</v>
      </c>
      <c r="J6" t="s">
        <v>7</v>
      </c>
      <c r="K6">
        <v>7.8</v>
      </c>
    </row>
    <row r="7" spans="2:14">
      <c r="B7" t="s">
        <v>188</v>
      </c>
      <c r="D7">
        <v>10.93</v>
      </c>
      <c r="E7" t="s">
        <v>187</v>
      </c>
      <c r="J7" t="s">
        <v>22</v>
      </c>
      <c r="K7">
        <v>8.1999999999999993</v>
      </c>
    </row>
    <row r="8" spans="2:14">
      <c r="B8" t="s">
        <v>189</v>
      </c>
      <c r="D8">
        <v>910</v>
      </c>
      <c r="E8" t="s">
        <v>106</v>
      </c>
      <c r="J8" t="s">
        <v>16</v>
      </c>
      <c r="K8">
        <v>8</v>
      </c>
    </row>
    <row r="9" spans="2:14">
      <c r="B9" t="s">
        <v>190</v>
      </c>
      <c r="D9">
        <v>1.02</v>
      </c>
    </row>
    <row r="10" spans="2:14">
      <c r="B10" t="s">
        <v>191</v>
      </c>
      <c r="D10">
        <v>193.74</v>
      </c>
      <c r="E10" t="s">
        <v>187</v>
      </c>
      <c r="J10" t="s">
        <v>192</v>
      </c>
      <c r="L10">
        <v>2000</v>
      </c>
    </row>
    <row r="11" spans="2:14">
      <c r="B11" t="s">
        <v>193</v>
      </c>
      <c r="D11">
        <v>0.5</v>
      </c>
      <c r="E11" t="s">
        <v>187</v>
      </c>
      <c r="K11" t="s">
        <v>194</v>
      </c>
      <c r="L11">
        <v>1200</v>
      </c>
    </row>
    <row r="12" spans="2:14">
      <c r="K12" t="s">
        <v>195</v>
      </c>
      <c r="L12">
        <v>800</v>
      </c>
    </row>
    <row r="13" spans="2:14">
      <c r="B13" t="s">
        <v>196</v>
      </c>
      <c r="D13">
        <v>-73.88</v>
      </c>
      <c r="E13" t="s">
        <v>187</v>
      </c>
    </row>
    <row r="14" spans="2:14">
      <c r="B14" t="s">
        <v>197</v>
      </c>
      <c r="D14">
        <v>52.17</v>
      </c>
      <c r="E14" t="s">
        <v>187</v>
      </c>
      <c r="J14" t="s">
        <v>198</v>
      </c>
    </row>
    <row r="16" spans="2:14">
      <c r="B16" t="s">
        <v>199</v>
      </c>
      <c r="D16" s="428">
        <f>(D6+D7)/2</f>
        <v>10.5</v>
      </c>
      <c r="E16" t="s">
        <v>187</v>
      </c>
      <c r="J16" t="s">
        <v>200</v>
      </c>
      <c r="L16">
        <v>1200</v>
      </c>
      <c r="M16" t="s">
        <v>201</v>
      </c>
    </row>
    <row r="17" spans="2:23">
      <c r="K17" t="s">
        <v>202</v>
      </c>
      <c r="L17">
        <v>4.9000000000000002E-2</v>
      </c>
      <c r="M17" t="s">
        <v>187</v>
      </c>
      <c r="N17" t="s">
        <v>203</v>
      </c>
      <c r="P17">
        <f>(L16/100)*L17</f>
        <v>0.58800000000000008</v>
      </c>
      <c r="Q17" t="s">
        <v>204</v>
      </c>
      <c r="V17" s="537">
        <f>(K6+P17)</f>
        <v>8.3879999999999999</v>
      </c>
      <c r="W17" t="s">
        <v>93</v>
      </c>
    </row>
    <row r="18" spans="2:23">
      <c r="B18" t="s">
        <v>205</v>
      </c>
      <c r="K18" t="s">
        <v>206</v>
      </c>
      <c r="L18">
        <v>-1.2E-2</v>
      </c>
      <c r="M18" t="s">
        <v>187</v>
      </c>
      <c r="N18" t="s">
        <v>207</v>
      </c>
      <c r="P18">
        <f>(L16/100)*L18</f>
        <v>-0.14400000000000002</v>
      </c>
      <c r="Q18" t="s">
        <v>208</v>
      </c>
      <c r="S18" s="537">
        <f>(K7+P18)</f>
        <v>8.0559999999999992</v>
      </c>
      <c r="T18" t="s">
        <v>93</v>
      </c>
    </row>
    <row r="19" spans="2:23">
      <c r="B19" t="s">
        <v>209</v>
      </c>
      <c r="D19">
        <v>911.51</v>
      </c>
    </row>
    <row r="20" spans="2:23">
      <c r="B20" t="s">
        <v>210</v>
      </c>
      <c r="D20">
        <v>1.71</v>
      </c>
      <c r="J20" t="s">
        <v>211</v>
      </c>
      <c r="L20">
        <v>800</v>
      </c>
      <c r="M20" t="s">
        <v>201</v>
      </c>
    </row>
    <row r="21" spans="2:23">
      <c r="B21" t="s">
        <v>212</v>
      </c>
      <c r="D21">
        <v>60.78</v>
      </c>
      <c r="K21" t="s">
        <v>202</v>
      </c>
      <c r="L21">
        <v>-1.9E-2</v>
      </c>
      <c r="M21" t="s">
        <v>187</v>
      </c>
      <c r="N21" t="s">
        <v>203</v>
      </c>
      <c r="P21">
        <f>(L20/100)*L21</f>
        <v>-0.152</v>
      </c>
      <c r="Q21" t="s">
        <v>213</v>
      </c>
      <c r="S21" s="436">
        <f>V17+P21</f>
        <v>8.2360000000000007</v>
      </c>
      <c r="T21" t="s">
        <v>93</v>
      </c>
    </row>
    <row r="22" spans="2:23">
      <c r="K22" t="s">
        <v>206</v>
      </c>
      <c r="L22">
        <v>5.8999999999999997E-2</v>
      </c>
      <c r="M22" t="s">
        <v>187</v>
      </c>
      <c r="N22" t="s">
        <v>207</v>
      </c>
      <c r="P22">
        <f>(L20/100)*L22</f>
        <v>0.47199999999999998</v>
      </c>
      <c r="Q22" t="s">
        <v>214</v>
      </c>
      <c r="S22" s="436">
        <f>S18+P22</f>
        <v>8.5279999999999987</v>
      </c>
      <c r="T22" t="s">
        <v>93</v>
      </c>
    </row>
    <row r="23" spans="2:23">
      <c r="B23" t="s">
        <v>215</v>
      </c>
      <c r="C23" s="429">
        <f>(D19*D9)/1.025</f>
        <v>907.06360975609755</v>
      </c>
      <c r="E23" t="s">
        <v>216</v>
      </c>
    </row>
    <row r="25" spans="2:23">
      <c r="B25" t="s">
        <v>217</v>
      </c>
    </row>
    <row r="27" spans="2:23" ht="21">
      <c r="B27" t="s">
        <v>218</v>
      </c>
      <c r="C27" t="s">
        <v>219</v>
      </c>
      <c r="G27" t="s">
        <v>220</v>
      </c>
      <c r="L27" s="434" t="s">
        <v>373</v>
      </c>
      <c r="M27" s="434"/>
      <c r="N27" s="434"/>
      <c r="O27" s="435"/>
      <c r="P27" s="435"/>
      <c r="Q27" s="435"/>
      <c r="R27" s="435"/>
      <c r="S27" s="435"/>
    </row>
    <row r="28" spans="2:23">
      <c r="B28" t="s">
        <v>218</v>
      </c>
      <c r="C28" s="428">
        <f>D14-D13</f>
        <v>126.05</v>
      </c>
      <c r="D28" t="s">
        <v>187</v>
      </c>
      <c r="N28" t="s">
        <v>221</v>
      </c>
      <c r="O28">
        <v>13.481999999999999</v>
      </c>
      <c r="P28" t="s">
        <v>93</v>
      </c>
      <c r="Q28" t="s">
        <v>222</v>
      </c>
      <c r="R28">
        <v>0</v>
      </c>
      <c r="S28" t="s">
        <v>93</v>
      </c>
    </row>
    <row r="29" spans="2:23">
      <c r="N29" t="s">
        <v>7</v>
      </c>
      <c r="O29">
        <v>13</v>
      </c>
      <c r="P29" t="s">
        <v>93</v>
      </c>
      <c r="Q29" t="s">
        <v>70</v>
      </c>
      <c r="R29">
        <v>68.3</v>
      </c>
      <c r="S29" t="s">
        <v>224</v>
      </c>
    </row>
    <row r="30" spans="2:23">
      <c r="B30" t="s">
        <v>223</v>
      </c>
      <c r="N30" t="s">
        <v>16</v>
      </c>
      <c r="O30">
        <v>13.22</v>
      </c>
      <c r="P30" t="s">
        <v>93</v>
      </c>
    </row>
    <row r="31" spans="2:23">
      <c r="B31" t="s">
        <v>225</v>
      </c>
      <c r="E31" t="s">
        <v>226</v>
      </c>
      <c r="N31" t="s">
        <v>22</v>
      </c>
      <c r="O31">
        <v>13.4</v>
      </c>
      <c r="P31" t="s">
        <v>93</v>
      </c>
    </row>
    <row r="32" spans="2:23">
      <c r="B32" t="s">
        <v>225</v>
      </c>
      <c r="E32" s="428">
        <f>D14-D20</f>
        <v>50.46</v>
      </c>
      <c r="F32" t="s">
        <v>187</v>
      </c>
    </row>
    <row r="34" spans="2:21">
      <c r="B34" t="s">
        <v>227</v>
      </c>
      <c r="L34" t="s">
        <v>228</v>
      </c>
      <c r="O34" t="s">
        <v>229</v>
      </c>
    </row>
    <row r="35" spans="2:21">
      <c r="B35" t="s">
        <v>230</v>
      </c>
      <c r="C35" t="s">
        <v>231</v>
      </c>
      <c r="N35" t="s">
        <v>232</v>
      </c>
      <c r="O35" s="428">
        <f>O28-O30-R28</f>
        <v>0.26199999999999868</v>
      </c>
      <c r="P35" t="s">
        <v>93</v>
      </c>
      <c r="Q35" t="s">
        <v>233</v>
      </c>
    </row>
    <row r="36" spans="2:21">
      <c r="B36" t="s">
        <v>230</v>
      </c>
      <c r="C36" s="428">
        <f>D7-D6</f>
        <v>0.85999999999999943</v>
      </c>
      <c r="D36" t="s">
        <v>187</v>
      </c>
    </row>
    <row r="37" spans="2:21">
      <c r="L37" t="s">
        <v>234</v>
      </c>
      <c r="O37" s="428">
        <f>O35*100*R29</f>
        <v>1789.4599999999909</v>
      </c>
      <c r="P37" t="s">
        <v>235</v>
      </c>
    </row>
    <row r="38" spans="2:21">
      <c r="B38" t="s">
        <v>236</v>
      </c>
      <c r="D38" t="s">
        <v>237</v>
      </c>
    </row>
    <row r="39" spans="2:21">
      <c r="B39" t="s">
        <v>238</v>
      </c>
      <c r="C39" s="428">
        <f>D11-C36</f>
        <v>-0.35999999999999943</v>
      </c>
      <c r="D39" t="s">
        <v>187</v>
      </c>
      <c r="L39" t="s">
        <v>239</v>
      </c>
    </row>
    <row r="40" spans="2:21">
      <c r="L40" t="s">
        <v>240</v>
      </c>
    </row>
    <row r="41" spans="2:21">
      <c r="B41" t="s">
        <v>241</v>
      </c>
      <c r="L41" t="s">
        <v>242</v>
      </c>
    </row>
    <row r="42" spans="2:21">
      <c r="B42" t="s">
        <v>243</v>
      </c>
      <c r="C42" t="s">
        <v>244</v>
      </c>
      <c r="L42" t="s">
        <v>245</v>
      </c>
    </row>
    <row r="43" spans="2:21">
      <c r="B43" t="s">
        <v>243</v>
      </c>
      <c r="C43" s="429">
        <f>((E32*D8)-(C39*C23*100))/C28</f>
        <v>623.34700476969033</v>
      </c>
      <c r="D43" t="s">
        <v>106</v>
      </c>
    </row>
    <row r="44" spans="2:21">
      <c r="L44" t="s">
        <v>246</v>
      </c>
      <c r="O44" s="428">
        <f>(O31+O29)/2</f>
        <v>13.2</v>
      </c>
    </row>
    <row r="45" spans="2:21" ht="15" thickBot="1">
      <c r="B45" t="s">
        <v>247</v>
      </c>
      <c r="Q45" t="s">
        <v>248</v>
      </c>
    </row>
    <row r="46" spans="2:21">
      <c r="B46" t="s">
        <v>249</v>
      </c>
      <c r="C46" t="s">
        <v>250</v>
      </c>
      <c r="L46" s="1" t="s">
        <v>251</v>
      </c>
      <c r="M46" s="633" t="s">
        <v>362</v>
      </c>
      <c r="N46" s="5" t="s">
        <v>252</v>
      </c>
      <c r="O46" s="5" t="s">
        <v>253</v>
      </c>
      <c r="P46" s="5" t="s">
        <v>254</v>
      </c>
      <c r="Q46" s="437" t="s">
        <v>255</v>
      </c>
      <c r="R46" s="439" t="s">
        <v>256</v>
      </c>
      <c r="S46" s="440" t="s">
        <v>257</v>
      </c>
      <c r="T46" s="441" t="s">
        <v>258</v>
      </c>
      <c r="U46" s="632" t="s">
        <v>259</v>
      </c>
    </row>
    <row r="47" spans="2:21">
      <c r="B47" t="s">
        <v>249</v>
      </c>
      <c r="C47" s="429">
        <f>D8-C43</f>
        <v>286.65299523030967</v>
      </c>
      <c r="D47" t="s">
        <v>106</v>
      </c>
      <c r="L47" s="1"/>
      <c r="M47" s="630" t="s">
        <v>194</v>
      </c>
      <c r="N47" s="4">
        <v>5.6000000000000001E-2</v>
      </c>
      <c r="O47" s="4">
        <v>-2.1999999999999999E-2</v>
      </c>
      <c r="P47" s="4">
        <v>5.6000000000000001E-2</v>
      </c>
      <c r="Q47" s="3">
        <v>-2.1000000000000001E-2</v>
      </c>
      <c r="R47" s="634">
        <v>5.5E-2</v>
      </c>
      <c r="S47" s="635">
        <v>-2.1000000000000001E-2</v>
      </c>
      <c r="T47" s="636">
        <v>5.5E-2</v>
      </c>
      <c r="U47" s="635">
        <v>-2.1000000000000001E-2</v>
      </c>
    </row>
    <row r="48" spans="2:21" ht="15" thickBot="1">
      <c r="M48" s="631" t="s">
        <v>260</v>
      </c>
      <c r="N48" s="7">
        <v>-1.0999999999999999E-2</v>
      </c>
      <c r="O48" s="7">
        <v>4.2999999999999997E-2</v>
      </c>
      <c r="P48" s="7">
        <v>-1.0999999999999999E-2</v>
      </c>
      <c r="Q48" s="438">
        <v>4.1000000000000002E-2</v>
      </c>
      <c r="R48" s="637">
        <v>-0.01</v>
      </c>
      <c r="S48" s="638">
        <v>4.1000000000000002E-2</v>
      </c>
      <c r="T48" s="639">
        <v>-0.01</v>
      </c>
      <c r="U48" s="638">
        <v>0.04</v>
      </c>
    </row>
    <row r="49" spans="2:20">
      <c r="B49" t="s">
        <v>261</v>
      </c>
    </row>
    <row r="50" spans="2:20">
      <c r="B50" t="s">
        <v>262</v>
      </c>
      <c r="L50" t="s">
        <v>263</v>
      </c>
      <c r="M50" t="s">
        <v>264</v>
      </c>
      <c r="P50" t="s">
        <v>265</v>
      </c>
      <c r="Q50" t="s">
        <v>266</v>
      </c>
    </row>
    <row r="51" spans="2:20" ht="15" thickBot="1">
      <c r="B51" t="s">
        <v>267</v>
      </c>
      <c r="C51" t="s">
        <v>268</v>
      </c>
      <c r="N51" t="s">
        <v>269</v>
      </c>
      <c r="O51" t="s">
        <v>270</v>
      </c>
    </row>
    <row r="52" spans="2:20">
      <c r="B52" t="s">
        <v>267</v>
      </c>
      <c r="C52" s="430">
        <f>D8/(D21*100)</f>
        <v>0.14972030273116158</v>
      </c>
      <c r="D52" t="s">
        <v>187</v>
      </c>
      <c r="E52" s="427" t="s">
        <v>271</v>
      </c>
      <c r="M52" s="442" t="s">
        <v>194</v>
      </c>
      <c r="N52" s="5" t="s">
        <v>272</v>
      </c>
      <c r="O52" s="5" t="s">
        <v>273</v>
      </c>
      <c r="Q52" t="s">
        <v>274</v>
      </c>
    </row>
    <row r="53" spans="2:20">
      <c r="M53" s="443"/>
      <c r="N53" s="4">
        <v>5.5E-2</v>
      </c>
      <c r="O53" s="4">
        <v>-2.1000000000000001E-2</v>
      </c>
      <c r="Q53">
        <f>N53-O53</f>
        <v>7.5999999999999998E-2</v>
      </c>
      <c r="R53" t="s">
        <v>93</v>
      </c>
      <c r="S53">
        <f>Q53*100</f>
        <v>7.6</v>
      </c>
      <c r="T53" t="s">
        <v>275</v>
      </c>
    </row>
    <row r="54" spans="2:20" ht="15" thickBot="1">
      <c r="M54" s="6" t="s">
        <v>260</v>
      </c>
      <c r="N54" s="7">
        <v>-0.01</v>
      </c>
      <c r="O54" s="7">
        <v>4.1000000000000002E-2</v>
      </c>
      <c r="Q54">
        <f>O54-N54</f>
        <v>5.1000000000000004E-2</v>
      </c>
      <c r="R54" t="s">
        <v>93</v>
      </c>
      <c r="S54">
        <f>Q54*100</f>
        <v>5.1000000000000005</v>
      </c>
      <c r="T54" t="s">
        <v>275</v>
      </c>
    </row>
    <row r="55" spans="2:20">
      <c r="B55" t="s">
        <v>276</v>
      </c>
    </row>
    <row r="56" spans="2:20">
      <c r="B56" t="s">
        <v>277</v>
      </c>
      <c r="C56" t="s">
        <v>278</v>
      </c>
      <c r="P56" t="s">
        <v>279</v>
      </c>
      <c r="R56">
        <f>Q53+Q54</f>
        <v>0.127</v>
      </c>
      <c r="S56" t="s">
        <v>93</v>
      </c>
    </row>
    <row r="57" spans="2:20">
      <c r="B57" t="s">
        <v>277</v>
      </c>
      <c r="C57" s="428">
        <f>ABS(C39/2)</f>
        <v>0.17999999999999972</v>
      </c>
      <c r="D57" t="s">
        <v>187</v>
      </c>
      <c r="R57">
        <f>R56*100</f>
        <v>12.7</v>
      </c>
      <c r="S57" t="s">
        <v>280</v>
      </c>
    </row>
    <row r="59" spans="2:20">
      <c r="B59" t="s">
        <v>281</v>
      </c>
      <c r="L59" t="s">
        <v>282</v>
      </c>
    </row>
    <row r="60" spans="2:20">
      <c r="B60" t="s">
        <v>283</v>
      </c>
      <c r="M60" t="s">
        <v>284</v>
      </c>
      <c r="O60">
        <f>O31-O29</f>
        <v>0.40000000000000036</v>
      </c>
      <c r="P60" t="s">
        <v>93</v>
      </c>
      <c r="Q60">
        <f>O60*100</f>
        <v>40.000000000000036</v>
      </c>
      <c r="R60" t="s">
        <v>285</v>
      </c>
    </row>
    <row r="61" spans="2:20">
      <c r="B61" t="s">
        <v>286</v>
      </c>
      <c r="M61" t="s">
        <v>287</v>
      </c>
      <c r="O61">
        <v>0</v>
      </c>
      <c r="P61" t="s">
        <v>93</v>
      </c>
    </row>
    <row r="63" spans="2:20">
      <c r="B63" t="s">
        <v>288</v>
      </c>
      <c r="L63" t="s">
        <v>289</v>
      </c>
      <c r="O63" t="s">
        <v>503</v>
      </c>
    </row>
    <row r="64" spans="2:20">
      <c r="O64" s="429">
        <f>ROUND((Q60*100)/S53,2)</f>
        <v>526.32000000000005</v>
      </c>
      <c r="P64" t="s">
        <v>201</v>
      </c>
      <c r="Q64" t="s">
        <v>290</v>
      </c>
    </row>
    <row r="66" spans="2:18">
      <c r="B66" s="629" t="s">
        <v>362</v>
      </c>
      <c r="C66" t="s">
        <v>186</v>
      </c>
      <c r="D66" t="s">
        <v>188</v>
      </c>
      <c r="E66" t="s">
        <v>291</v>
      </c>
    </row>
    <row r="67" spans="2:18">
      <c r="B67" t="s">
        <v>292</v>
      </c>
      <c r="C67">
        <v>10.07</v>
      </c>
      <c r="D67">
        <v>10.93</v>
      </c>
      <c r="E67">
        <f>D67-C67</f>
        <v>0.85999999999999943</v>
      </c>
      <c r="L67" t="s">
        <v>293</v>
      </c>
      <c r="O67" s="429">
        <f>ROUND((O37-O64),2)</f>
        <v>1263.1400000000001</v>
      </c>
      <c r="P67" t="s">
        <v>201</v>
      </c>
    </row>
    <row r="68" spans="2:18">
      <c r="B68" t="s">
        <v>232</v>
      </c>
      <c r="C68">
        <v>0.15</v>
      </c>
      <c r="D68">
        <v>0.15</v>
      </c>
    </row>
    <row r="69" spans="2:18">
      <c r="B69" t="s">
        <v>294</v>
      </c>
      <c r="C69">
        <v>0.18</v>
      </c>
      <c r="D69">
        <v>-0.18</v>
      </c>
    </row>
    <row r="70" spans="2:18">
      <c r="L70" t="s">
        <v>295</v>
      </c>
    </row>
    <row r="71" spans="2:18">
      <c r="B71" s="431" t="s">
        <v>296</v>
      </c>
      <c r="C71" s="431">
        <f>C67+C68+C69</f>
        <v>10.4</v>
      </c>
      <c r="D71" s="431">
        <f>D67+D68+D69</f>
        <v>10.9</v>
      </c>
      <c r="E71" s="431">
        <f>D71-C71</f>
        <v>0.5</v>
      </c>
      <c r="L71" t="s">
        <v>297</v>
      </c>
    </row>
    <row r="73" spans="2:18">
      <c r="L73" t="s">
        <v>298</v>
      </c>
      <c r="P73" s="444" t="s">
        <v>299</v>
      </c>
    </row>
    <row r="74" spans="2:18">
      <c r="P74" t="s">
        <v>300</v>
      </c>
      <c r="R74" t="s">
        <v>301</v>
      </c>
    </row>
    <row r="76" spans="2:18">
      <c r="N76" t="s">
        <v>302</v>
      </c>
      <c r="O76" s="428">
        <f>ROUND((O67*S54)/R57,2)</f>
        <v>507.25</v>
      </c>
      <c r="P76" t="s">
        <v>201</v>
      </c>
    </row>
    <row r="77" spans="2:18">
      <c r="N77" t="s">
        <v>303</v>
      </c>
      <c r="O77" s="429">
        <f>O67-O76</f>
        <v>755.8900000000001</v>
      </c>
      <c r="P77" t="s">
        <v>201</v>
      </c>
    </row>
    <row r="79" spans="2:18">
      <c r="L79" t="s">
        <v>304</v>
      </c>
      <c r="M79" t="s">
        <v>305</v>
      </c>
    </row>
    <row r="80" spans="2:18">
      <c r="M80" t="s">
        <v>306</v>
      </c>
    </row>
    <row r="82" spans="14:16">
      <c r="N82" t="s">
        <v>307</v>
      </c>
      <c r="O82" s="429">
        <f>O64+O76</f>
        <v>1033.5700000000002</v>
      </c>
      <c r="P82" t="s">
        <v>235</v>
      </c>
    </row>
    <row r="83" spans="14:16">
      <c r="N83" t="s">
        <v>308</v>
      </c>
      <c r="O83" s="429">
        <f>O77</f>
        <v>755.8900000000001</v>
      </c>
      <c r="P83" t="s">
        <v>235</v>
      </c>
    </row>
    <row r="84" spans="14:16">
      <c r="N84" t="s">
        <v>309</v>
      </c>
      <c r="O84" s="429">
        <f>O82+O83</f>
        <v>1789.4600000000003</v>
      </c>
      <c r="P84" t="s">
        <v>235</v>
      </c>
    </row>
  </sheetData>
  <pageMargins left="0.7" right="0.7" top="0.75" bottom="0.75" header="0.3" footer="0.3"/>
  <headerFooter alignWithMargins="0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30E23-46C7-4419-8D48-F4D3974EC373}">
  <sheetPr codeName="Feuil9"/>
  <dimension ref="B2:O36"/>
  <sheetViews>
    <sheetView workbookViewId="0">
      <selection activeCell="A6" sqref="A6"/>
    </sheetView>
  </sheetViews>
  <sheetFormatPr baseColWidth="10" defaultRowHeight="14.5"/>
  <cols>
    <col min="2" max="2" width="28.36328125" bestFit="1" customWidth="1"/>
  </cols>
  <sheetData>
    <row r="2" spans="2:15">
      <c r="B2" t="s">
        <v>399</v>
      </c>
      <c r="C2" t="s">
        <v>400</v>
      </c>
      <c r="D2" t="s">
        <v>401</v>
      </c>
    </row>
    <row r="3" spans="2:15">
      <c r="B3" t="s">
        <v>375</v>
      </c>
      <c r="C3" t="s">
        <v>427</v>
      </c>
      <c r="D3" t="s">
        <v>402</v>
      </c>
    </row>
    <row r="4" spans="2:15">
      <c r="B4" t="s">
        <v>376</v>
      </c>
      <c r="C4" t="s">
        <v>428</v>
      </c>
      <c r="D4" t="s">
        <v>403</v>
      </c>
    </row>
    <row r="5" spans="2:15">
      <c r="B5" t="s">
        <v>377</v>
      </c>
      <c r="C5" t="s">
        <v>429</v>
      </c>
      <c r="D5" t="s">
        <v>404</v>
      </c>
      <c r="N5" t="s">
        <v>477</v>
      </c>
    </row>
    <row r="6" spans="2:15">
      <c r="B6" t="s">
        <v>378</v>
      </c>
      <c r="C6" t="s">
        <v>430</v>
      </c>
      <c r="D6" t="s">
        <v>405</v>
      </c>
      <c r="J6" t="s">
        <v>456</v>
      </c>
      <c r="K6" t="s">
        <v>481</v>
      </c>
      <c r="N6" t="s">
        <v>499</v>
      </c>
      <c r="O6">
        <v>257</v>
      </c>
    </row>
    <row r="7" spans="2:15">
      <c r="B7" t="s">
        <v>379</v>
      </c>
      <c r="C7" t="s">
        <v>431</v>
      </c>
      <c r="D7" t="s">
        <v>406</v>
      </c>
      <c r="J7" t="s">
        <v>457</v>
      </c>
      <c r="N7" t="s">
        <v>500</v>
      </c>
      <c r="O7">
        <v>3.9449999999999998</v>
      </c>
    </row>
    <row r="8" spans="2:15">
      <c r="B8" t="s">
        <v>380</v>
      </c>
      <c r="C8" t="s">
        <v>432</v>
      </c>
      <c r="D8" t="s">
        <v>407</v>
      </c>
      <c r="N8" t="s">
        <v>501</v>
      </c>
      <c r="O8">
        <v>192</v>
      </c>
    </row>
    <row r="9" spans="2:15">
      <c r="B9" t="s">
        <v>381</v>
      </c>
      <c r="C9" t="s">
        <v>433</v>
      </c>
      <c r="D9" t="s">
        <v>408</v>
      </c>
      <c r="N9" t="s">
        <v>502</v>
      </c>
      <c r="O9">
        <v>189</v>
      </c>
    </row>
    <row r="10" spans="2:15">
      <c r="B10" t="s">
        <v>382</v>
      </c>
      <c r="C10" t="s">
        <v>434</v>
      </c>
      <c r="D10" t="s">
        <v>409</v>
      </c>
      <c r="N10" t="s">
        <v>458</v>
      </c>
      <c r="O10">
        <v>1.8120000000000001</v>
      </c>
    </row>
    <row r="11" spans="2:15">
      <c r="B11" t="s">
        <v>383</v>
      </c>
      <c r="C11" t="s">
        <v>435</v>
      </c>
      <c r="D11" t="s">
        <v>410</v>
      </c>
      <c r="N11" t="s">
        <v>459</v>
      </c>
      <c r="O11">
        <v>1.8120000000000001</v>
      </c>
    </row>
    <row r="12" spans="2:15">
      <c r="B12" t="s">
        <v>384</v>
      </c>
      <c r="C12" t="s">
        <v>436</v>
      </c>
      <c r="D12" t="s">
        <v>411</v>
      </c>
      <c r="N12" t="s">
        <v>460</v>
      </c>
      <c r="O12">
        <v>476</v>
      </c>
    </row>
    <row r="13" spans="2:15">
      <c r="B13" t="s">
        <v>385</v>
      </c>
      <c r="C13" t="s">
        <v>437</v>
      </c>
      <c r="D13" t="s">
        <v>412</v>
      </c>
      <c r="N13" t="s">
        <v>461</v>
      </c>
    </row>
    <row r="14" spans="2:15">
      <c r="B14" t="s">
        <v>386</v>
      </c>
      <c r="C14" t="s">
        <v>438</v>
      </c>
      <c r="D14" t="s">
        <v>413</v>
      </c>
      <c r="N14" t="s">
        <v>462</v>
      </c>
    </row>
    <row r="15" spans="2:15">
      <c r="B15" t="s">
        <v>387</v>
      </c>
      <c r="C15" t="s">
        <v>439</v>
      </c>
      <c r="D15" t="s">
        <v>414</v>
      </c>
      <c r="N15" t="s">
        <v>463</v>
      </c>
    </row>
    <row r="16" spans="2:15">
      <c r="B16" t="s">
        <v>388</v>
      </c>
      <c r="C16" t="s">
        <v>440</v>
      </c>
      <c r="D16" t="s">
        <v>415</v>
      </c>
      <c r="N16" t="s">
        <v>464</v>
      </c>
    </row>
    <row r="17" spans="2:14">
      <c r="B17" t="s">
        <v>389</v>
      </c>
      <c r="C17" t="s">
        <v>441</v>
      </c>
      <c r="D17" t="s">
        <v>416</v>
      </c>
      <c r="N17" t="s">
        <v>465</v>
      </c>
    </row>
    <row r="18" spans="2:14">
      <c r="B18" t="s">
        <v>390</v>
      </c>
      <c r="C18" t="s">
        <v>442</v>
      </c>
      <c r="D18" t="s">
        <v>417</v>
      </c>
      <c r="N18" t="s">
        <v>466</v>
      </c>
    </row>
    <row r="19" spans="2:14">
      <c r="B19" t="s">
        <v>391</v>
      </c>
      <c r="C19" t="s">
        <v>443</v>
      </c>
      <c r="D19" t="s">
        <v>418</v>
      </c>
      <c r="N19" t="s">
        <v>467</v>
      </c>
    </row>
    <row r="20" spans="2:14">
      <c r="B20" t="s">
        <v>392</v>
      </c>
      <c r="C20" t="s">
        <v>444</v>
      </c>
      <c r="D20" t="s">
        <v>419</v>
      </c>
      <c r="N20" t="s">
        <v>468</v>
      </c>
    </row>
    <row r="21" spans="2:14">
      <c r="B21" t="s">
        <v>393</v>
      </c>
      <c r="C21" t="s">
        <v>445</v>
      </c>
      <c r="D21" t="s">
        <v>420</v>
      </c>
      <c r="N21" t="s">
        <v>469</v>
      </c>
    </row>
    <row r="22" spans="2:14">
      <c r="B22" t="s">
        <v>394</v>
      </c>
      <c r="C22" t="s">
        <v>446</v>
      </c>
      <c r="D22" t="s">
        <v>421</v>
      </c>
      <c r="N22" t="s">
        <v>470</v>
      </c>
    </row>
    <row r="23" spans="2:14">
      <c r="B23" t="s">
        <v>395</v>
      </c>
      <c r="C23" t="s">
        <v>447</v>
      </c>
      <c r="D23" t="s">
        <v>422</v>
      </c>
      <c r="N23" t="s">
        <v>471</v>
      </c>
    </row>
    <row r="24" spans="2:14">
      <c r="B24" t="s">
        <v>396</v>
      </c>
      <c r="C24" t="s">
        <v>448</v>
      </c>
      <c r="D24" t="s">
        <v>423</v>
      </c>
      <c r="N24" t="s">
        <v>472</v>
      </c>
    </row>
    <row r="25" spans="2:14">
      <c r="B25" t="s">
        <v>397</v>
      </c>
      <c r="C25" t="s">
        <v>449</v>
      </c>
      <c r="D25" t="s">
        <v>424</v>
      </c>
      <c r="N25" t="s">
        <v>473</v>
      </c>
    </row>
    <row r="26" spans="2:14">
      <c r="B26" t="s">
        <v>398</v>
      </c>
      <c r="C26" t="s">
        <v>450</v>
      </c>
      <c r="D26" t="s">
        <v>425</v>
      </c>
      <c r="N26" t="s">
        <v>474</v>
      </c>
    </row>
    <row r="27" spans="2:14">
      <c r="B27" t="s">
        <v>374</v>
      </c>
      <c r="C27" t="s">
        <v>451</v>
      </c>
      <c r="D27" t="s">
        <v>426</v>
      </c>
      <c r="N27" t="s">
        <v>475</v>
      </c>
    </row>
    <row r="28" spans="2:14">
      <c r="B28" t="s">
        <v>452</v>
      </c>
      <c r="C28" t="s">
        <v>482</v>
      </c>
      <c r="D28" t="s">
        <v>490</v>
      </c>
      <c r="N28" t="s">
        <v>476</v>
      </c>
    </row>
    <row r="29" spans="2:14">
      <c r="B29" t="s">
        <v>453</v>
      </c>
      <c r="C29" t="s">
        <v>483</v>
      </c>
      <c r="D29" t="s">
        <v>491</v>
      </c>
      <c r="N29">
        <v>769</v>
      </c>
    </row>
    <row r="30" spans="2:14">
      <c r="B30" t="s">
        <v>456</v>
      </c>
      <c r="C30" t="s">
        <v>481</v>
      </c>
      <c r="D30" t="s">
        <v>495</v>
      </c>
    </row>
    <row r="31" spans="2:14">
      <c r="B31" t="s">
        <v>454</v>
      </c>
      <c r="C31" t="s">
        <v>484</v>
      </c>
      <c r="D31" t="s">
        <v>496</v>
      </c>
    </row>
    <row r="32" spans="2:14">
      <c r="B32" t="s">
        <v>457</v>
      </c>
      <c r="C32" t="s">
        <v>485</v>
      </c>
      <c r="D32" t="s">
        <v>492</v>
      </c>
    </row>
    <row r="33" spans="2:4">
      <c r="B33" t="s">
        <v>455</v>
      </c>
      <c r="C33" t="s">
        <v>486</v>
      </c>
      <c r="D33" t="s">
        <v>493</v>
      </c>
    </row>
    <row r="34" spans="2:4">
      <c r="B34" t="s">
        <v>478</v>
      </c>
      <c r="C34" t="s">
        <v>487</v>
      </c>
      <c r="D34" t="s">
        <v>494</v>
      </c>
    </row>
    <row r="35" spans="2:4">
      <c r="B35" t="s">
        <v>479</v>
      </c>
      <c r="C35" t="s">
        <v>488</v>
      </c>
      <c r="D35" t="s">
        <v>497</v>
      </c>
    </row>
    <row r="36" spans="2:4">
      <c r="B36" t="s">
        <v>480</v>
      </c>
      <c r="C36" t="s">
        <v>489</v>
      </c>
      <c r="D36" t="s">
        <v>498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494BC-3B8F-49F8-B9C0-18F81268FC0A}">
  <sheetPr codeName="Feuil8"/>
  <dimension ref="A1:J83"/>
  <sheetViews>
    <sheetView workbookViewId="0">
      <selection activeCell="H16" sqref="H16"/>
    </sheetView>
  </sheetViews>
  <sheetFormatPr baseColWidth="10" defaultRowHeight="14.5"/>
  <cols>
    <col min="1" max="16384" width="10.90625" style="663"/>
  </cols>
  <sheetData>
    <row r="1" spans="1:10" ht="15" thickBot="1">
      <c r="A1" s="691" t="s">
        <v>368</v>
      </c>
      <c r="B1" s="692"/>
      <c r="C1" s="692"/>
      <c r="D1" s="692"/>
      <c r="E1" s="692"/>
      <c r="F1" s="693"/>
      <c r="H1" s="688" t="s">
        <v>366</v>
      </c>
      <c r="I1" s="689"/>
      <c r="J1" s="690"/>
    </row>
    <row r="2" spans="1:10">
      <c r="A2" s="664" t="s">
        <v>369</v>
      </c>
      <c r="B2" s="665" t="s">
        <v>370</v>
      </c>
      <c r="C2" s="665" t="s">
        <v>70</v>
      </c>
      <c r="D2" s="665" t="s">
        <v>72</v>
      </c>
      <c r="E2" s="665" t="s">
        <v>371</v>
      </c>
      <c r="F2" s="666" t="s">
        <v>71</v>
      </c>
      <c r="H2" s="673" t="s">
        <v>367</v>
      </c>
      <c r="I2" s="674">
        <v>1</v>
      </c>
      <c r="J2" s="675">
        <v>-61.625</v>
      </c>
    </row>
    <row r="3" spans="1:10">
      <c r="A3" s="668">
        <v>4</v>
      </c>
      <c r="B3" s="669">
        <v>15872</v>
      </c>
      <c r="C3" s="670">
        <v>43.9</v>
      </c>
      <c r="D3" s="670">
        <v>441.3</v>
      </c>
      <c r="E3" s="670">
        <v>-5.2850000000000001</v>
      </c>
      <c r="F3" s="671">
        <v>-4.8150000000000004</v>
      </c>
      <c r="H3" s="673" t="s">
        <v>367</v>
      </c>
      <c r="I3" s="674">
        <v>2</v>
      </c>
      <c r="J3" s="675">
        <v>-35.655000000000001</v>
      </c>
    </row>
    <row r="4" spans="1:10">
      <c r="A4" s="668">
        <v>4.0999999999999996</v>
      </c>
      <c r="B4" s="669">
        <v>16311</v>
      </c>
      <c r="C4" s="670">
        <v>44</v>
      </c>
      <c r="D4" s="670">
        <v>444.9</v>
      </c>
      <c r="E4" s="670">
        <v>-5.2750000000000004</v>
      </c>
      <c r="F4" s="671">
        <v>-4.7350000000000003</v>
      </c>
      <c r="H4" s="673" t="s">
        <v>367</v>
      </c>
      <c r="I4" s="674">
        <v>3</v>
      </c>
      <c r="J4" s="675">
        <v>-8.4550000000000001</v>
      </c>
    </row>
    <row r="5" spans="1:10">
      <c r="A5" s="668">
        <v>4.1999999999999993</v>
      </c>
      <c r="B5" s="669">
        <v>16752</v>
      </c>
      <c r="C5" s="670">
        <v>44.1</v>
      </c>
      <c r="D5" s="670">
        <v>448.5</v>
      </c>
      <c r="E5" s="670">
        <v>-5.2649999999999997</v>
      </c>
      <c r="F5" s="671">
        <v>-4.6349999999999998</v>
      </c>
      <c r="H5" s="673" t="s">
        <v>367</v>
      </c>
      <c r="I5" s="674">
        <v>4</v>
      </c>
      <c r="J5" s="675">
        <v>18.754999999999999</v>
      </c>
    </row>
    <row r="6" spans="1:10">
      <c r="A6" s="668">
        <v>4.2999999999999989</v>
      </c>
      <c r="B6" s="669">
        <v>17194</v>
      </c>
      <c r="C6" s="670">
        <v>44.3</v>
      </c>
      <c r="D6" s="670">
        <v>452.1</v>
      </c>
      <c r="E6" s="670">
        <v>5.2450000000000001</v>
      </c>
      <c r="F6" s="671">
        <v>-4.5350000000000001</v>
      </c>
      <c r="H6" s="673" t="s">
        <v>367</v>
      </c>
      <c r="I6" s="674">
        <v>5</v>
      </c>
      <c r="J6" s="675">
        <v>46.024999999999999</v>
      </c>
    </row>
    <row r="7" spans="1:10">
      <c r="A7" s="668">
        <v>4.3999999999999986</v>
      </c>
      <c r="B7" s="669">
        <v>17638</v>
      </c>
      <c r="C7" s="670">
        <v>44.4</v>
      </c>
      <c r="D7" s="670">
        <v>455.8</v>
      </c>
      <c r="E7" s="670">
        <v>-5.2249999999999996</v>
      </c>
      <c r="F7" s="671">
        <v>-4.4349999999999996</v>
      </c>
      <c r="H7" s="673" t="s">
        <v>367</v>
      </c>
      <c r="I7" s="674">
        <v>6</v>
      </c>
      <c r="J7" s="675"/>
    </row>
    <row r="8" spans="1:10">
      <c r="A8" s="668">
        <v>4.4999999999999982</v>
      </c>
      <c r="B8" s="669">
        <v>18083</v>
      </c>
      <c r="C8" s="670">
        <v>44.6</v>
      </c>
      <c r="D8" s="670">
        <v>460.7</v>
      </c>
      <c r="E8" s="670">
        <v>-5.2050000000000001</v>
      </c>
      <c r="F8" s="671">
        <v>-4.2649999999999997</v>
      </c>
      <c r="H8" s="673" t="s">
        <v>367</v>
      </c>
      <c r="I8" s="674">
        <v>7</v>
      </c>
      <c r="J8" s="675"/>
    </row>
    <row r="9" spans="1:10">
      <c r="A9" s="668">
        <v>4.5999999999999979</v>
      </c>
      <c r="B9" s="669">
        <v>18529</v>
      </c>
      <c r="C9" s="670">
        <v>44.7</v>
      </c>
      <c r="D9" s="670">
        <v>464.4</v>
      </c>
      <c r="E9" s="670">
        <v>-5.1749999999999998</v>
      </c>
      <c r="F9" s="671">
        <v>-4.1349999999999998</v>
      </c>
      <c r="H9" s="667"/>
      <c r="I9" s="667"/>
      <c r="J9" s="667"/>
    </row>
    <row r="10" spans="1:10">
      <c r="A10" s="668">
        <v>4.6999999999999975</v>
      </c>
      <c r="B10" s="669">
        <v>18977</v>
      </c>
      <c r="C10" s="670">
        <v>44.9</v>
      </c>
      <c r="D10" s="670">
        <v>468.1</v>
      </c>
      <c r="E10" s="670">
        <v>-5.1550000000000002</v>
      </c>
      <c r="F10" s="671">
        <v>-4.0149999999999997</v>
      </c>
      <c r="H10" s="676" t="s">
        <v>42</v>
      </c>
      <c r="I10" s="677">
        <v>176.75</v>
      </c>
      <c r="J10" s="667"/>
    </row>
    <row r="11" spans="1:10">
      <c r="A11" s="668">
        <v>4.7999999999999972</v>
      </c>
      <c r="B11" s="669">
        <v>19427</v>
      </c>
      <c r="C11" s="670">
        <v>45</v>
      </c>
      <c r="D11" s="670">
        <v>471.9</v>
      </c>
      <c r="E11" s="670">
        <v>-5.125</v>
      </c>
      <c r="F11" s="671">
        <v>-3.875</v>
      </c>
    </row>
    <row r="12" spans="1:10">
      <c r="A12" s="668">
        <v>4.8999999999999968</v>
      </c>
      <c r="B12" s="669">
        <v>19877</v>
      </c>
      <c r="C12" s="670">
        <v>45.1</v>
      </c>
      <c r="D12" s="670">
        <v>475.8</v>
      </c>
      <c r="E12" s="670">
        <v>-5.0949999999999998</v>
      </c>
      <c r="F12" s="671">
        <v>-3.7450000000000001</v>
      </c>
    </row>
    <row r="13" spans="1:10">
      <c r="A13" s="672">
        <v>4.9999999999999964</v>
      </c>
      <c r="B13" s="669">
        <v>20328</v>
      </c>
      <c r="C13" s="670">
        <v>45.3</v>
      </c>
      <c r="D13" s="670">
        <v>479.8</v>
      </c>
      <c r="E13" s="670">
        <v>-5.0650000000000004</v>
      </c>
      <c r="F13" s="671">
        <v>-3.605</v>
      </c>
    </row>
    <row r="14" spans="1:10">
      <c r="A14" s="672">
        <v>5.0999999999999961</v>
      </c>
      <c r="B14" s="669">
        <v>20782</v>
      </c>
      <c r="C14" s="670">
        <v>45.4</v>
      </c>
      <c r="D14" s="670">
        <v>483.8</v>
      </c>
      <c r="E14" s="670">
        <v>-5.0350000000000001</v>
      </c>
      <c r="F14" s="671">
        <v>-3.4550000000000001</v>
      </c>
    </row>
    <row r="15" spans="1:10">
      <c r="A15" s="672">
        <v>5.1999999999999957</v>
      </c>
      <c r="B15" s="669">
        <v>21237</v>
      </c>
      <c r="C15" s="670">
        <v>45.5</v>
      </c>
      <c r="D15" s="670">
        <v>487.9</v>
      </c>
      <c r="E15" s="670">
        <v>-4.9950000000000001</v>
      </c>
      <c r="F15" s="671">
        <v>-3.3149999999999999</v>
      </c>
    </row>
    <row r="16" spans="1:10">
      <c r="A16" s="672">
        <v>5.2999999999999954</v>
      </c>
      <c r="B16" s="669">
        <v>21693</v>
      </c>
      <c r="C16" s="670">
        <v>45.7</v>
      </c>
      <c r="D16" s="670">
        <v>492.1</v>
      </c>
      <c r="E16" s="670">
        <v>-4.9550000000000001</v>
      </c>
      <c r="F16" s="671">
        <v>-3.165</v>
      </c>
    </row>
    <row r="17" spans="1:6">
      <c r="A17" s="672">
        <v>5.399999999999995</v>
      </c>
      <c r="B17" s="669">
        <v>22150</v>
      </c>
      <c r="C17" s="670">
        <v>45.8</v>
      </c>
      <c r="D17" s="670">
        <v>496.4</v>
      </c>
      <c r="E17" s="670">
        <v>-4.915</v>
      </c>
      <c r="F17" s="671">
        <v>-3.0049999999999999</v>
      </c>
    </row>
    <row r="18" spans="1:6">
      <c r="A18" s="672">
        <v>5.4999999999999947</v>
      </c>
      <c r="B18" s="669">
        <v>22609</v>
      </c>
      <c r="C18" s="670">
        <v>45.9</v>
      </c>
      <c r="D18" s="670">
        <v>500.6</v>
      </c>
      <c r="E18" s="670">
        <v>-4.875</v>
      </c>
      <c r="F18" s="671">
        <v>-2.835</v>
      </c>
    </row>
    <row r="19" spans="1:6">
      <c r="A19" s="672">
        <v>5.5999999999999943</v>
      </c>
      <c r="B19" s="669">
        <v>23069</v>
      </c>
      <c r="C19" s="670">
        <v>46.1</v>
      </c>
      <c r="D19" s="670">
        <v>504.6</v>
      </c>
      <c r="E19" s="670">
        <v>-4.835</v>
      </c>
      <c r="F19" s="671">
        <v>-2.645</v>
      </c>
    </row>
    <row r="20" spans="1:6">
      <c r="A20" s="672">
        <v>5.699999999999994</v>
      </c>
      <c r="B20" s="669">
        <v>23531</v>
      </c>
      <c r="C20" s="670">
        <v>46.2</v>
      </c>
      <c r="D20" s="670">
        <v>508.8</v>
      </c>
      <c r="E20" s="670">
        <v>-4.7949999999999999</v>
      </c>
      <c r="F20" s="671">
        <v>-2.4649999999999999</v>
      </c>
    </row>
    <row r="21" spans="1:6">
      <c r="A21" s="672">
        <v>5.7999999999999936</v>
      </c>
      <c r="B21" s="669">
        <v>23993</v>
      </c>
      <c r="C21" s="670">
        <v>46.3</v>
      </c>
      <c r="D21" s="670">
        <v>512.9</v>
      </c>
      <c r="E21" s="670">
        <v>-4.7450000000000001</v>
      </c>
      <c r="F21" s="671">
        <v>-2.2749999999999999</v>
      </c>
    </row>
    <row r="22" spans="1:6">
      <c r="A22" s="672">
        <v>5.8999999999999932</v>
      </c>
      <c r="B22" s="669">
        <v>24457</v>
      </c>
      <c r="C22" s="670">
        <v>46.5</v>
      </c>
      <c r="D22" s="670">
        <v>517.1</v>
      </c>
      <c r="E22" s="670">
        <v>-4.6950000000000003</v>
      </c>
      <c r="F22" s="671">
        <v>-2.0750000000000002</v>
      </c>
    </row>
    <row r="23" spans="1:6">
      <c r="A23" s="672">
        <v>5.9999999999999929</v>
      </c>
      <c r="B23" s="669">
        <v>24923</v>
      </c>
      <c r="C23" s="670">
        <v>46.6</v>
      </c>
      <c r="D23" s="670">
        <v>521.4</v>
      </c>
      <c r="E23" s="670">
        <v>-4.6449999999999996</v>
      </c>
      <c r="F23" s="671">
        <v>-1.875</v>
      </c>
    </row>
    <row r="24" spans="1:6">
      <c r="A24" s="668">
        <v>6.0999999999999925</v>
      </c>
      <c r="B24" s="669">
        <v>25389</v>
      </c>
      <c r="C24" s="670">
        <v>46.7</v>
      </c>
      <c r="D24" s="670">
        <v>525.70000000000005</v>
      </c>
      <c r="E24" s="670">
        <v>-4.5949999999999998</v>
      </c>
      <c r="F24" s="671">
        <v>-1.675</v>
      </c>
    </row>
    <row r="25" spans="1:6">
      <c r="A25" s="668">
        <v>6.1999999999999922</v>
      </c>
      <c r="B25" s="669">
        <v>25857</v>
      </c>
      <c r="C25" s="670">
        <v>46.9</v>
      </c>
      <c r="D25" s="670">
        <v>530.1</v>
      </c>
      <c r="E25" s="670">
        <v>-4.5350000000000001</v>
      </c>
      <c r="F25" s="671">
        <v>-1.4650000000000001</v>
      </c>
    </row>
    <row r="26" spans="1:6">
      <c r="A26" s="668">
        <v>6.2999999999999918</v>
      </c>
      <c r="B26" s="669">
        <v>26326</v>
      </c>
      <c r="C26" s="670">
        <v>47</v>
      </c>
      <c r="D26" s="670">
        <v>534.4</v>
      </c>
      <c r="E26" s="670">
        <v>-4.4850000000000003</v>
      </c>
      <c r="F26" s="671">
        <v>-1.2649999999999999</v>
      </c>
    </row>
    <row r="27" spans="1:6">
      <c r="A27" s="668">
        <v>6.3999999999999915</v>
      </c>
      <c r="B27" s="669">
        <v>26797</v>
      </c>
      <c r="C27" s="670">
        <v>47.1</v>
      </c>
      <c r="D27" s="670">
        <v>538.70000000000005</v>
      </c>
      <c r="E27" s="670">
        <v>-4.4249999999999998</v>
      </c>
      <c r="F27" s="671">
        <v>-1.075</v>
      </c>
    </row>
    <row r="28" spans="1:6">
      <c r="A28" s="668">
        <v>6.4999999999999911</v>
      </c>
      <c r="B28" s="669">
        <v>27269</v>
      </c>
      <c r="C28" s="670">
        <v>47.2</v>
      </c>
      <c r="D28" s="670">
        <v>543</v>
      </c>
      <c r="E28" s="670">
        <v>-4.3650000000000002</v>
      </c>
      <c r="F28" s="671">
        <v>-0.875</v>
      </c>
    </row>
    <row r="29" spans="1:6">
      <c r="A29" s="668">
        <v>6.5999999999999908</v>
      </c>
      <c r="B29" s="669">
        <v>27742</v>
      </c>
      <c r="C29" s="670">
        <v>47.4</v>
      </c>
      <c r="D29" s="670">
        <v>547.20000000000005</v>
      </c>
      <c r="E29" s="670">
        <v>-4.3049999999999997</v>
      </c>
      <c r="F29" s="671">
        <v>-0.67500000000000004</v>
      </c>
    </row>
    <row r="30" spans="1:6">
      <c r="A30" s="668">
        <v>6.6999999999999904</v>
      </c>
      <c r="B30" s="669">
        <v>28216</v>
      </c>
      <c r="C30" s="670">
        <v>47.5</v>
      </c>
      <c r="D30" s="670">
        <v>551.4</v>
      </c>
      <c r="E30" s="670">
        <v>-4.2350000000000003</v>
      </c>
      <c r="F30" s="671">
        <v>-0.47499999999999998</v>
      </c>
    </row>
    <row r="31" spans="1:6">
      <c r="A31" s="668">
        <v>6.7999999999999901</v>
      </c>
      <c r="B31" s="669">
        <v>28691</v>
      </c>
      <c r="C31" s="670">
        <v>47.6</v>
      </c>
      <c r="D31" s="670">
        <v>555.6</v>
      </c>
      <c r="E31" s="670">
        <v>-4.1749999999999998</v>
      </c>
      <c r="F31" s="671">
        <v>-0.27500000000000002</v>
      </c>
    </row>
    <row r="32" spans="1:6">
      <c r="A32" s="668">
        <v>6.8999999999999897</v>
      </c>
      <c r="B32" s="669">
        <v>29168</v>
      </c>
      <c r="C32" s="670">
        <v>47.7</v>
      </c>
      <c r="D32" s="670">
        <v>559.70000000000005</v>
      </c>
      <c r="E32" s="670">
        <v>-4.1050000000000004</v>
      </c>
      <c r="F32" s="671">
        <v>-7.4999999999999997E-2</v>
      </c>
    </row>
    <row r="33" spans="1:6">
      <c r="A33" s="668">
        <v>6.9999999999999893</v>
      </c>
      <c r="B33" s="669">
        <v>29646</v>
      </c>
      <c r="C33" s="670">
        <v>47.9</v>
      </c>
      <c r="D33" s="670">
        <v>563.9</v>
      </c>
      <c r="E33" s="670">
        <v>-4.0449999999999999</v>
      </c>
      <c r="F33" s="671">
        <v>0.125</v>
      </c>
    </row>
    <row r="34" spans="1:6">
      <c r="A34" s="668">
        <v>7.099999999999989</v>
      </c>
      <c r="B34" s="669">
        <v>30125</v>
      </c>
      <c r="C34" s="670">
        <v>48</v>
      </c>
      <c r="D34" s="670">
        <v>568.1</v>
      </c>
      <c r="E34" s="670">
        <v>-3.9750000000000001</v>
      </c>
      <c r="F34" s="671">
        <v>0.315</v>
      </c>
    </row>
    <row r="35" spans="1:6">
      <c r="A35" s="668">
        <v>7.1999999999999886</v>
      </c>
      <c r="B35" s="669">
        <v>30606</v>
      </c>
      <c r="C35" s="670">
        <v>48.1</v>
      </c>
      <c r="D35" s="670">
        <v>572.29999999999995</v>
      </c>
      <c r="E35" s="670">
        <v>-3.9049999999999998</v>
      </c>
      <c r="F35" s="671">
        <v>0.51500000000000001</v>
      </c>
    </row>
    <row r="36" spans="1:6">
      <c r="A36" s="668">
        <v>7.2999999999999883</v>
      </c>
      <c r="B36" s="669">
        <v>31087</v>
      </c>
      <c r="C36" s="670">
        <v>48.2</v>
      </c>
      <c r="D36" s="670">
        <v>576.4</v>
      </c>
      <c r="E36" s="670">
        <v>-3.835</v>
      </c>
      <c r="F36" s="671">
        <v>0.70499999999999996</v>
      </c>
    </row>
    <row r="37" spans="1:6">
      <c r="A37" s="668">
        <v>7.3999999999999879</v>
      </c>
      <c r="B37" s="669">
        <v>31570</v>
      </c>
      <c r="C37" s="670">
        <v>48.3</v>
      </c>
      <c r="D37" s="670">
        <v>580.5</v>
      </c>
      <c r="E37" s="670">
        <v>-3.7650000000000001</v>
      </c>
      <c r="F37" s="671">
        <v>0.89500000000000002</v>
      </c>
    </row>
    <row r="38" spans="1:6">
      <c r="A38" s="668">
        <v>7.4999999999999876</v>
      </c>
      <c r="B38" s="669">
        <v>32054</v>
      </c>
      <c r="C38" s="670">
        <v>48.5</v>
      </c>
      <c r="D38" s="670">
        <v>584.70000000000005</v>
      </c>
      <c r="E38" s="670">
        <v>-3.6949999999999998</v>
      </c>
      <c r="F38" s="671">
        <v>1.085</v>
      </c>
    </row>
    <row r="39" spans="1:6">
      <c r="A39" s="668">
        <v>7.5999999999999872</v>
      </c>
      <c r="B39" s="669">
        <v>32539</v>
      </c>
      <c r="C39" s="670">
        <v>48.6</v>
      </c>
      <c r="D39" s="670">
        <v>588.79999999999995</v>
      </c>
      <c r="E39" s="670">
        <v>-3.625</v>
      </c>
      <c r="F39" s="671">
        <v>1.2749999999999999</v>
      </c>
    </row>
    <row r="40" spans="1:6">
      <c r="A40" s="668">
        <v>7.6999999999999869</v>
      </c>
      <c r="B40" s="669">
        <v>33025</v>
      </c>
      <c r="C40" s="670">
        <v>48.7</v>
      </c>
      <c r="D40" s="670">
        <v>594.29999999999995</v>
      </c>
      <c r="E40" s="670">
        <v>-3.5449999999999999</v>
      </c>
      <c r="F40" s="671">
        <v>1.5449999999999999</v>
      </c>
    </row>
    <row r="41" spans="1:6">
      <c r="A41" s="668">
        <v>7.7999999999999865</v>
      </c>
      <c r="B41" s="669">
        <v>33513</v>
      </c>
      <c r="C41" s="670">
        <v>48.9</v>
      </c>
      <c r="D41" s="670">
        <v>598.29999999999995</v>
      </c>
      <c r="E41" s="670">
        <v>-3.4750000000000001</v>
      </c>
      <c r="F41" s="671">
        <v>1.7250000000000001</v>
      </c>
    </row>
    <row r="42" spans="1:6">
      <c r="A42" s="668">
        <v>7.8999999999999861</v>
      </c>
      <c r="B42" s="669">
        <v>34003</v>
      </c>
      <c r="C42" s="670">
        <v>49</v>
      </c>
      <c r="D42" s="670">
        <v>602.29999999999995</v>
      </c>
      <c r="E42" s="670">
        <v>-3.395</v>
      </c>
      <c r="F42" s="671">
        <v>1.905</v>
      </c>
    </row>
    <row r="43" spans="1:6">
      <c r="A43" s="668">
        <v>7.9999999999999858</v>
      </c>
      <c r="B43" s="669">
        <v>34493</v>
      </c>
      <c r="C43" s="670">
        <v>49.1</v>
      </c>
      <c r="D43" s="670">
        <v>606.1</v>
      </c>
      <c r="E43" s="670">
        <v>-3.3149999999999999</v>
      </c>
      <c r="F43" s="671">
        <v>2.0750000000000002</v>
      </c>
    </row>
    <row r="44" spans="1:6">
      <c r="A44" s="668">
        <v>8.0999999999999854</v>
      </c>
      <c r="B44" s="669">
        <v>34984</v>
      </c>
      <c r="C44" s="670">
        <v>49.2</v>
      </c>
      <c r="D44" s="670">
        <v>610</v>
      </c>
      <c r="E44" s="670">
        <v>-3.2450000000000001</v>
      </c>
      <c r="F44" s="671">
        <v>2.2549999999999999</v>
      </c>
    </row>
    <row r="45" spans="1:6">
      <c r="A45" s="668">
        <v>8.1999999999999851</v>
      </c>
      <c r="B45" s="669">
        <v>35477</v>
      </c>
      <c r="C45" s="670">
        <v>49.3</v>
      </c>
      <c r="D45" s="670">
        <v>613.79999999999995</v>
      </c>
      <c r="E45" s="670">
        <v>-3.165</v>
      </c>
      <c r="F45" s="671">
        <v>2.4249999999999998</v>
      </c>
    </row>
    <row r="46" spans="1:6">
      <c r="A46" s="668">
        <v>8.2999999999999847</v>
      </c>
      <c r="B46" s="669">
        <v>35970</v>
      </c>
      <c r="C46" s="670">
        <v>49.4</v>
      </c>
      <c r="D46" s="670">
        <v>617.70000000000005</v>
      </c>
      <c r="E46" s="670">
        <v>-3.085</v>
      </c>
      <c r="F46" s="671">
        <v>2.5950000000000002</v>
      </c>
    </row>
    <row r="47" spans="1:6">
      <c r="A47" s="668">
        <v>8.3999999999999844</v>
      </c>
      <c r="B47" s="669">
        <v>36464</v>
      </c>
      <c r="C47" s="670">
        <v>49.5</v>
      </c>
      <c r="D47" s="670">
        <v>621.4</v>
      </c>
      <c r="E47" s="670">
        <v>-3.0049999999999999</v>
      </c>
      <c r="F47" s="671">
        <v>2.7650000000000001</v>
      </c>
    </row>
    <row r="48" spans="1:6">
      <c r="A48" s="668">
        <v>8.499999999999984</v>
      </c>
      <c r="B48" s="669">
        <v>36960</v>
      </c>
      <c r="C48" s="670">
        <v>49.6</v>
      </c>
      <c r="D48" s="670">
        <v>625.29999999999995</v>
      </c>
      <c r="E48" s="670">
        <v>-2.9249999999999998</v>
      </c>
      <c r="F48" s="671">
        <v>2.9350000000000001</v>
      </c>
    </row>
    <row r="49" spans="1:6">
      <c r="A49" s="668">
        <v>8.5999999999999837</v>
      </c>
      <c r="B49" s="669">
        <v>37457</v>
      </c>
      <c r="C49" s="670">
        <v>49.7</v>
      </c>
      <c r="D49" s="670">
        <v>629</v>
      </c>
      <c r="E49" s="670">
        <v>-2.855</v>
      </c>
      <c r="F49" s="671">
        <v>3.0950000000000002</v>
      </c>
    </row>
    <row r="50" spans="1:6">
      <c r="A50" s="668">
        <v>8.6999999999999833</v>
      </c>
      <c r="B50" s="669">
        <v>37954</v>
      </c>
      <c r="C50" s="670">
        <v>49.8</v>
      </c>
      <c r="D50" s="670">
        <v>632.79999999999995</v>
      </c>
      <c r="E50" s="670">
        <v>-2.7749999999999999</v>
      </c>
      <c r="F50" s="671">
        <v>3.2650000000000001</v>
      </c>
    </row>
    <row r="51" spans="1:6">
      <c r="A51" s="668">
        <v>8.7999999999999829</v>
      </c>
      <c r="B51" s="669">
        <v>38453</v>
      </c>
      <c r="C51" s="670">
        <v>49.9</v>
      </c>
      <c r="D51" s="670">
        <v>636.5</v>
      </c>
      <c r="E51" s="670">
        <v>-2.6949999999999998</v>
      </c>
      <c r="F51" s="671">
        <v>3.4249999999999998</v>
      </c>
    </row>
    <row r="52" spans="1:6">
      <c r="A52" s="668">
        <v>8.8999999999999826</v>
      </c>
      <c r="B52" s="669">
        <v>38952</v>
      </c>
      <c r="C52" s="670">
        <v>50</v>
      </c>
      <c r="D52" s="670">
        <v>640.20000000000005</v>
      </c>
      <c r="E52" s="670">
        <v>-2.6150000000000002</v>
      </c>
      <c r="F52" s="671">
        <v>3.585</v>
      </c>
    </row>
    <row r="53" spans="1:6">
      <c r="A53" s="668">
        <v>8.9999999999999822</v>
      </c>
      <c r="B53" s="669">
        <v>39453</v>
      </c>
      <c r="C53" s="670">
        <v>50.1</v>
      </c>
      <c r="D53" s="670">
        <v>644</v>
      </c>
      <c r="E53" s="670">
        <v>-2.5350000000000001</v>
      </c>
      <c r="F53" s="671">
        <v>3.7450000000000001</v>
      </c>
    </row>
    <row r="54" spans="1:6">
      <c r="A54" s="668">
        <v>9.0999999999999819</v>
      </c>
      <c r="B54" s="669">
        <v>39954</v>
      </c>
      <c r="C54" s="670">
        <v>50.2</v>
      </c>
      <c r="D54" s="670">
        <v>647.6</v>
      </c>
      <c r="E54" s="670">
        <v>-2.4550000000000001</v>
      </c>
      <c r="F54" s="671">
        <v>3.895</v>
      </c>
    </row>
    <row r="55" spans="1:6">
      <c r="A55" s="668">
        <v>9.1999999999999815</v>
      </c>
      <c r="B55" s="669">
        <v>40457</v>
      </c>
      <c r="C55" s="670">
        <v>50.3</v>
      </c>
      <c r="D55" s="670">
        <v>650.70000000000005</v>
      </c>
      <c r="E55" s="670">
        <v>-2.375</v>
      </c>
      <c r="F55" s="671">
        <v>4.0350000000000001</v>
      </c>
    </row>
    <row r="56" spans="1:6">
      <c r="A56" s="668">
        <v>9.2999999999999812</v>
      </c>
      <c r="B56" s="669">
        <v>40960</v>
      </c>
      <c r="C56" s="670">
        <v>50.4</v>
      </c>
      <c r="D56" s="670">
        <v>653.70000000000005</v>
      </c>
      <c r="E56" s="670">
        <v>-2.2949999999999999</v>
      </c>
      <c r="F56" s="671">
        <v>4.165</v>
      </c>
    </row>
    <row r="57" spans="1:6">
      <c r="A57" s="668">
        <v>9.3999999999999808</v>
      </c>
      <c r="B57" s="669">
        <v>41464</v>
      </c>
      <c r="C57" s="670">
        <v>50.4</v>
      </c>
      <c r="D57" s="670">
        <v>656.3</v>
      </c>
      <c r="E57" s="670">
        <v>-2.2149999999999999</v>
      </c>
      <c r="F57" s="671">
        <v>4.2750000000000004</v>
      </c>
    </row>
    <row r="58" spans="1:6">
      <c r="A58" s="668">
        <v>9.4999999999999805</v>
      </c>
      <c r="B58" s="669">
        <v>41969</v>
      </c>
      <c r="C58" s="670">
        <v>50.5</v>
      </c>
      <c r="D58" s="670">
        <v>658.7</v>
      </c>
      <c r="E58" s="670">
        <v>-2.1349999999999998</v>
      </c>
      <c r="F58" s="671">
        <v>4.3849999999999998</v>
      </c>
    </row>
    <row r="59" spans="1:6">
      <c r="A59" s="668">
        <v>9.5999999999999801</v>
      </c>
      <c r="B59" s="669">
        <v>42474</v>
      </c>
      <c r="C59" s="670">
        <v>50.6</v>
      </c>
      <c r="D59" s="670">
        <v>661</v>
      </c>
      <c r="E59" s="670">
        <v>-2.0550000000000002</v>
      </c>
      <c r="F59" s="671">
        <v>4.4749999999999996</v>
      </c>
    </row>
    <row r="60" spans="1:6">
      <c r="A60" s="668">
        <v>9.6999999999999797</v>
      </c>
      <c r="B60" s="669">
        <v>42980</v>
      </c>
      <c r="C60" s="670">
        <v>50.6</v>
      </c>
      <c r="D60" s="670">
        <v>663</v>
      </c>
      <c r="E60" s="670">
        <v>-1.9850000000000001</v>
      </c>
      <c r="F60" s="671">
        <v>4.5650000000000004</v>
      </c>
    </row>
    <row r="61" spans="1:6">
      <c r="A61" s="668">
        <v>9.7999999999999794</v>
      </c>
      <c r="B61" s="669">
        <v>43487</v>
      </c>
      <c r="C61" s="670">
        <v>50.7</v>
      </c>
      <c r="D61" s="670">
        <v>664.9</v>
      </c>
      <c r="E61" s="670">
        <v>-1.905</v>
      </c>
      <c r="F61" s="671">
        <v>4.6550000000000002</v>
      </c>
    </row>
    <row r="62" spans="1:6">
      <c r="A62" s="668">
        <v>9.899999999999979</v>
      </c>
      <c r="B62" s="669">
        <v>43994</v>
      </c>
      <c r="C62" s="670">
        <v>50.7</v>
      </c>
      <c r="D62" s="670">
        <v>666.7</v>
      </c>
      <c r="E62" s="670">
        <v>-1.825</v>
      </c>
      <c r="F62" s="671">
        <v>4.7249999999999996</v>
      </c>
    </row>
    <row r="63" spans="1:6">
      <c r="A63" s="668">
        <v>9.9999999999999787</v>
      </c>
      <c r="B63" s="669">
        <v>44501</v>
      </c>
      <c r="C63" s="670">
        <v>50.8</v>
      </c>
      <c r="D63" s="670">
        <v>668.3</v>
      </c>
      <c r="E63" s="670">
        <v>-1.7549999999999999</v>
      </c>
      <c r="F63" s="671">
        <v>4.7949999999999999</v>
      </c>
    </row>
    <row r="64" spans="1:6">
      <c r="A64" s="668">
        <v>10.099999999999978</v>
      </c>
      <c r="B64" s="669">
        <v>45009</v>
      </c>
      <c r="C64" s="670">
        <v>50.8</v>
      </c>
      <c r="D64" s="670">
        <v>669.8</v>
      </c>
      <c r="E64" s="670">
        <v>-1.675</v>
      </c>
      <c r="F64" s="671">
        <v>4.8650000000000002</v>
      </c>
    </row>
    <row r="65" spans="1:6">
      <c r="A65" s="668">
        <v>10.199999999999978</v>
      </c>
      <c r="B65" s="669">
        <v>45517</v>
      </c>
      <c r="C65" s="670">
        <v>50.8</v>
      </c>
      <c r="D65" s="670">
        <v>671.2</v>
      </c>
      <c r="E65" s="670">
        <v>-1.605</v>
      </c>
      <c r="F65" s="671">
        <v>4.9249999999999998</v>
      </c>
    </row>
    <row r="66" spans="1:6">
      <c r="A66" s="668">
        <v>10.299999999999978</v>
      </c>
      <c r="B66" s="669">
        <v>46026</v>
      </c>
      <c r="C66" s="670">
        <v>50.9</v>
      </c>
      <c r="D66" s="670">
        <v>672.5</v>
      </c>
      <c r="E66" s="670">
        <v>-1.5349999999999999</v>
      </c>
      <c r="F66" s="671">
        <v>4.9850000000000003</v>
      </c>
    </row>
    <row r="67" spans="1:6">
      <c r="A67" s="668">
        <v>10.399999999999977</v>
      </c>
      <c r="B67" s="669">
        <v>46535</v>
      </c>
      <c r="C67" s="670">
        <v>50.9</v>
      </c>
      <c r="D67" s="670">
        <v>673.7</v>
      </c>
      <c r="E67" s="670">
        <v>-1.4650000000000001</v>
      </c>
      <c r="F67" s="671">
        <v>5.0350000000000001</v>
      </c>
    </row>
    <row r="68" spans="1:6">
      <c r="A68" s="668">
        <v>10.499999999999977</v>
      </c>
      <c r="B68" s="669">
        <v>47044</v>
      </c>
      <c r="C68" s="670">
        <v>51</v>
      </c>
      <c r="D68" s="670">
        <v>674.8</v>
      </c>
      <c r="E68" s="670">
        <v>-1.395</v>
      </c>
      <c r="F68" s="671">
        <v>5.085</v>
      </c>
    </row>
    <row r="69" spans="1:6">
      <c r="A69" s="668">
        <v>10.599999999999977</v>
      </c>
      <c r="B69" s="669">
        <v>47554</v>
      </c>
      <c r="C69" s="670">
        <v>51</v>
      </c>
      <c r="D69" s="670">
        <v>675.9</v>
      </c>
      <c r="E69" s="670">
        <v>-1.325</v>
      </c>
      <c r="F69" s="671">
        <v>5.1349999999999998</v>
      </c>
    </row>
    <row r="70" spans="1:6">
      <c r="A70" s="668">
        <v>10.699999999999976</v>
      </c>
      <c r="B70" s="669">
        <v>48064</v>
      </c>
      <c r="C70" s="670">
        <v>51</v>
      </c>
      <c r="D70" s="670">
        <v>676.9</v>
      </c>
      <c r="E70" s="670">
        <v>-1.2549999999999999</v>
      </c>
      <c r="F70" s="671">
        <v>5.1749999999999998</v>
      </c>
    </row>
    <row r="71" spans="1:6">
      <c r="A71" s="668">
        <v>10.799999999999976</v>
      </c>
      <c r="B71" s="669">
        <v>48574</v>
      </c>
      <c r="C71" s="670">
        <v>51</v>
      </c>
      <c r="D71" s="670">
        <v>677.8</v>
      </c>
      <c r="E71" s="670">
        <v>-1.1850000000000001</v>
      </c>
      <c r="F71" s="671">
        <v>5.2149999999999999</v>
      </c>
    </row>
    <row r="72" spans="1:6">
      <c r="A72" s="668">
        <v>10.899999999999975</v>
      </c>
      <c r="B72" s="669">
        <v>49085</v>
      </c>
      <c r="C72" s="670">
        <v>51.1</v>
      </c>
      <c r="D72" s="670">
        <v>678.7</v>
      </c>
      <c r="E72" s="670">
        <v>-1.115</v>
      </c>
      <c r="F72" s="671">
        <v>5.2549999999999999</v>
      </c>
    </row>
    <row r="73" spans="1:6">
      <c r="A73" s="668">
        <v>10.999999999999975</v>
      </c>
      <c r="B73" s="669">
        <v>49596</v>
      </c>
      <c r="C73" s="670">
        <v>51.1</v>
      </c>
      <c r="D73" s="670">
        <v>679.6</v>
      </c>
      <c r="E73" s="670">
        <v>-1.0549999999999999</v>
      </c>
      <c r="F73" s="671">
        <v>5.2949999999999999</v>
      </c>
    </row>
    <row r="74" spans="1:6">
      <c r="A74" s="668">
        <v>11.099999999999975</v>
      </c>
      <c r="B74" s="669">
        <v>50107</v>
      </c>
      <c r="C74" s="670">
        <v>51.1</v>
      </c>
      <c r="D74" s="670">
        <v>680.4</v>
      </c>
      <c r="E74" s="670">
        <v>-0.98499999999999999</v>
      </c>
      <c r="F74" s="671">
        <v>5.335</v>
      </c>
    </row>
    <row r="75" spans="1:6">
      <c r="A75" s="668">
        <v>11.199999999999974</v>
      </c>
      <c r="B75" s="669">
        <v>50618</v>
      </c>
      <c r="C75" s="670">
        <v>51.1</v>
      </c>
      <c r="D75" s="670">
        <v>681.2</v>
      </c>
      <c r="E75" s="670">
        <v>-0.92500000000000004</v>
      </c>
      <c r="F75" s="671">
        <v>5.3650000000000002</v>
      </c>
    </row>
    <row r="76" spans="1:6">
      <c r="A76" s="668">
        <v>11.299999999999974</v>
      </c>
      <c r="B76" s="669">
        <v>51129</v>
      </c>
      <c r="C76" s="670">
        <v>51.2</v>
      </c>
      <c r="D76" s="670">
        <v>681.9</v>
      </c>
      <c r="E76" s="670">
        <v>-0.86499999999999999</v>
      </c>
      <c r="F76" s="671">
        <v>5.3949999999999996</v>
      </c>
    </row>
    <row r="77" spans="1:6">
      <c r="A77" s="668">
        <v>11.399999999999974</v>
      </c>
      <c r="B77" s="669">
        <v>51641</v>
      </c>
      <c r="C77" s="670">
        <v>51.2</v>
      </c>
      <c r="D77" s="670">
        <v>682.6</v>
      </c>
      <c r="E77" s="670">
        <v>-0.79500000000000004</v>
      </c>
      <c r="F77" s="671">
        <v>5.4249999999999998</v>
      </c>
    </row>
    <row r="78" spans="1:6">
      <c r="A78" s="668">
        <v>11.499999999999973</v>
      </c>
      <c r="B78" s="669">
        <v>52153</v>
      </c>
      <c r="C78" s="670">
        <v>51.2</v>
      </c>
      <c r="D78" s="670">
        <v>683.3</v>
      </c>
      <c r="E78" s="670">
        <v>-0.73499999999999999</v>
      </c>
      <c r="F78" s="671">
        <v>5.4550000000000001</v>
      </c>
    </row>
    <row r="79" spans="1:6">
      <c r="A79" s="668">
        <v>11.599999999999973</v>
      </c>
      <c r="B79" s="669">
        <v>52665</v>
      </c>
      <c r="C79" s="670">
        <v>51.2</v>
      </c>
      <c r="D79" s="670">
        <v>683.9</v>
      </c>
      <c r="E79" s="670">
        <v>-0.67500000000000004</v>
      </c>
      <c r="F79" s="671">
        <v>5.4850000000000003</v>
      </c>
    </row>
    <row r="80" spans="1:6">
      <c r="A80" s="668">
        <v>11.699999999999973</v>
      </c>
      <c r="B80" s="669">
        <v>53177</v>
      </c>
      <c r="C80" s="670">
        <v>51.2</v>
      </c>
      <c r="D80" s="670">
        <v>684.6</v>
      </c>
      <c r="E80" s="670">
        <v>-0.61499999999999999</v>
      </c>
      <c r="F80" s="671">
        <v>5.5149999999999997</v>
      </c>
    </row>
    <row r="81" spans="1:6">
      <c r="A81" s="668">
        <v>11.799999999999972</v>
      </c>
      <c r="B81" s="669">
        <v>53690</v>
      </c>
      <c r="C81" s="670">
        <v>51.3</v>
      </c>
      <c r="D81" s="670">
        <v>685.1</v>
      </c>
      <c r="E81" s="670">
        <v>-0.55500000000000005</v>
      </c>
      <c r="F81" s="671">
        <v>5.5350000000000001</v>
      </c>
    </row>
    <row r="82" spans="1:6">
      <c r="A82" s="668">
        <v>11.899999999999972</v>
      </c>
      <c r="B82" s="669">
        <v>54202</v>
      </c>
      <c r="C82" s="670">
        <v>51.3</v>
      </c>
      <c r="D82" s="670">
        <v>685.7</v>
      </c>
      <c r="E82" s="670">
        <v>-0.505</v>
      </c>
      <c r="F82" s="671">
        <v>5.5650000000000004</v>
      </c>
    </row>
    <row r="83" spans="1:6">
      <c r="A83" s="668">
        <v>11.999999999999972</v>
      </c>
      <c r="B83" s="669">
        <v>54715</v>
      </c>
      <c r="C83" s="670">
        <v>51.3</v>
      </c>
      <c r="D83" s="670">
        <v>686.2</v>
      </c>
      <c r="E83" s="670">
        <v>-0.44500000000000001</v>
      </c>
      <c r="F83" s="671">
        <v>5.585</v>
      </c>
    </row>
  </sheetData>
  <mergeCells count="2">
    <mergeCell ref="H1:J1"/>
    <mergeCell ref="A1:F1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7"/>
  <dimension ref="A1:P44"/>
  <sheetViews>
    <sheetView workbookViewId="0">
      <selection activeCell="J32" sqref="J32"/>
    </sheetView>
  </sheetViews>
  <sheetFormatPr baseColWidth="10" defaultRowHeight="14.5"/>
  <cols>
    <col min="1" max="1" width="5.453125" style="2" customWidth="1"/>
    <col min="2" max="16384" width="10.90625" style="2"/>
  </cols>
  <sheetData>
    <row r="1" spans="1:16" ht="23.5">
      <c r="B1" s="651" t="s">
        <v>310</v>
      </c>
    </row>
    <row r="3" spans="1:16" ht="15" thickBot="1"/>
    <row r="4" spans="1:16" ht="15" thickBot="1">
      <c r="B4" s="2" t="s">
        <v>311</v>
      </c>
      <c r="E4" s="649">
        <v>12.3</v>
      </c>
      <c r="F4" s="2" t="s">
        <v>93</v>
      </c>
    </row>
    <row r="5" spans="1:16" ht="15" thickBot="1">
      <c r="B5" s="2" t="s">
        <v>312</v>
      </c>
      <c r="E5" s="649">
        <v>12.8</v>
      </c>
      <c r="F5" s="2" t="s">
        <v>93</v>
      </c>
      <c r="G5" s="662" t="s">
        <v>304</v>
      </c>
    </row>
    <row r="6" spans="1:16">
      <c r="B6" s="2" t="s">
        <v>313</v>
      </c>
      <c r="E6" s="2">
        <v>1.0249999999999999</v>
      </c>
      <c r="G6" s="652" t="s">
        <v>363</v>
      </c>
      <c r="H6" s="653"/>
      <c r="I6" s="653"/>
      <c r="J6" s="653"/>
      <c r="K6" s="653"/>
      <c r="L6" s="653"/>
      <c r="M6" s="653"/>
      <c r="N6" s="653"/>
      <c r="O6" s="653"/>
      <c r="P6" s="654"/>
    </row>
    <row r="7" spans="1:16">
      <c r="B7" s="2" t="s">
        <v>314</v>
      </c>
      <c r="E7" s="2">
        <v>1.018</v>
      </c>
      <c r="G7" s="655" t="s">
        <v>315</v>
      </c>
      <c r="H7" s="656"/>
      <c r="I7" s="656"/>
      <c r="J7" s="656"/>
      <c r="K7" s="656"/>
      <c r="L7" s="656"/>
      <c r="M7" s="656"/>
      <c r="N7" s="656"/>
      <c r="O7" s="656"/>
      <c r="P7" s="657"/>
    </row>
    <row r="8" spans="1:16">
      <c r="G8" s="655" t="s">
        <v>316</v>
      </c>
      <c r="H8" s="656"/>
      <c r="I8" s="656"/>
      <c r="J8" s="656"/>
      <c r="K8" s="656"/>
      <c r="L8" s="656"/>
      <c r="M8" s="656"/>
      <c r="N8" s="656"/>
      <c r="O8" s="656"/>
      <c r="P8" s="657"/>
    </row>
    <row r="9" spans="1:16">
      <c r="A9" s="2" t="s">
        <v>317</v>
      </c>
      <c r="B9" s="2" t="s">
        <v>318</v>
      </c>
      <c r="E9" s="2">
        <f>(E5+E4)/2</f>
        <v>12.55</v>
      </c>
      <c r="F9" s="2" t="s">
        <v>93</v>
      </c>
      <c r="G9" s="655" t="s">
        <v>319</v>
      </c>
      <c r="H9" s="656"/>
      <c r="I9" s="656"/>
      <c r="J9" s="656"/>
      <c r="K9" s="656"/>
      <c r="L9" s="656"/>
      <c r="M9" s="656"/>
      <c r="N9" s="656"/>
      <c r="O9" s="656"/>
      <c r="P9" s="657"/>
    </row>
    <row r="10" spans="1:16">
      <c r="G10" s="655" t="s">
        <v>364</v>
      </c>
      <c r="H10" s="506"/>
      <c r="I10" s="506"/>
      <c r="J10" s="506"/>
      <c r="K10" s="506"/>
      <c r="L10" s="506"/>
      <c r="M10" s="506"/>
      <c r="N10" s="506"/>
      <c r="O10" s="506"/>
      <c r="P10" s="658"/>
    </row>
    <row r="11" spans="1:16" ht="15" thickBot="1">
      <c r="A11" s="2" t="s">
        <v>320</v>
      </c>
      <c r="B11" s="2" t="s">
        <v>372</v>
      </c>
      <c r="G11" s="659" t="s">
        <v>321</v>
      </c>
      <c r="H11" s="660"/>
      <c r="I11" s="660"/>
      <c r="J11" s="660"/>
      <c r="K11" s="660"/>
      <c r="L11" s="660"/>
      <c r="M11" s="660"/>
      <c r="N11" s="660"/>
      <c r="O11" s="660"/>
      <c r="P11" s="661"/>
    </row>
    <row r="12" spans="1:16">
      <c r="C12" s="2" t="s">
        <v>322</v>
      </c>
      <c r="E12" s="2">
        <v>70122</v>
      </c>
      <c r="F12" s="2" t="s">
        <v>201</v>
      </c>
    </row>
    <row r="13" spans="1:16">
      <c r="C13" s="2" t="s">
        <v>323</v>
      </c>
      <c r="E13" s="2">
        <v>-4.1929999999999996</v>
      </c>
    </row>
    <row r="15" spans="1:16">
      <c r="A15" s="2" t="s">
        <v>324</v>
      </c>
      <c r="B15" s="2" t="s">
        <v>325</v>
      </c>
    </row>
    <row r="16" spans="1:16">
      <c r="B16" s="530" t="s">
        <v>326</v>
      </c>
      <c r="C16" s="531"/>
      <c r="D16" s="532"/>
      <c r="E16" s="528">
        <f>(E12*E6)/E7</f>
        <v>70604.174852652242</v>
      </c>
      <c r="F16" s="2" t="s">
        <v>235</v>
      </c>
    </row>
    <row r="17" spans="1:9">
      <c r="B17" s="530"/>
      <c r="C17" s="533" t="s">
        <v>327</v>
      </c>
      <c r="D17" s="533"/>
    </row>
    <row r="19" spans="1:9">
      <c r="A19" s="2" t="s">
        <v>328</v>
      </c>
      <c r="B19" s="2" t="s">
        <v>329</v>
      </c>
    </row>
    <row r="20" spans="1:9">
      <c r="C20" s="2" t="s">
        <v>330</v>
      </c>
      <c r="E20" s="2">
        <v>12.628</v>
      </c>
      <c r="F20" s="2" t="s">
        <v>187</v>
      </c>
    </row>
    <row r="21" spans="1:9">
      <c r="C21" s="2" t="s">
        <v>331</v>
      </c>
      <c r="E21" s="2">
        <v>-4.1390000000000002</v>
      </c>
    </row>
    <row r="22" spans="1:9">
      <c r="C22" s="2" t="s">
        <v>332</v>
      </c>
      <c r="E22" s="2">
        <v>952.24</v>
      </c>
    </row>
    <row r="24" spans="1:9">
      <c r="A24" s="2" t="s">
        <v>333</v>
      </c>
      <c r="B24" s="2" t="s">
        <v>310</v>
      </c>
      <c r="F24" s="530" t="s">
        <v>365</v>
      </c>
      <c r="G24" s="530"/>
      <c r="H24" s="530"/>
      <c r="I24" s="530"/>
    </row>
    <row r="25" spans="1:9">
      <c r="F25" s="2" t="s">
        <v>334</v>
      </c>
      <c r="G25" s="2">
        <f>E20-E9</f>
        <v>7.7999999999999403E-2</v>
      </c>
      <c r="H25" s="2" t="s">
        <v>93</v>
      </c>
    </row>
    <row r="27" spans="1:9">
      <c r="A27" s="2" t="s">
        <v>335</v>
      </c>
      <c r="B27" s="2" t="s">
        <v>336</v>
      </c>
    </row>
    <row r="28" spans="1:9">
      <c r="B28" s="530" t="s">
        <v>238</v>
      </c>
      <c r="C28" s="532" t="s">
        <v>337</v>
      </c>
      <c r="D28" s="532"/>
      <c r="E28" s="529">
        <f>E16*(E21-E13)/(E22*100)</f>
        <v>4.0038492838393447E-2</v>
      </c>
      <c r="F28" s="2" t="s">
        <v>93</v>
      </c>
    </row>
    <row r="29" spans="1:9">
      <c r="B29" s="530"/>
      <c r="C29" s="533" t="s">
        <v>338</v>
      </c>
      <c r="D29" s="533"/>
    </row>
    <row r="31" spans="1:9">
      <c r="A31" s="2" t="s">
        <v>339</v>
      </c>
      <c r="B31" s="2" t="s">
        <v>340</v>
      </c>
    </row>
    <row r="33" spans="1:14">
      <c r="C33" s="2" t="s">
        <v>267</v>
      </c>
      <c r="D33" s="2" t="s">
        <v>341</v>
      </c>
      <c r="E33" s="2">
        <v>7.8E-2</v>
      </c>
      <c r="F33" s="2" t="s">
        <v>93</v>
      </c>
    </row>
    <row r="35" spans="1:14">
      <c r="A35" s="2" t="s">
        <v>342</v>
      </c>
      <c r="B35" s="2" t="s">
        <v>343</v>
      </c>
      <c r="K35" s="2" t="s">
        <v>344</v>
      </c>
    </row>
    <row r="36" spans="1:14" ht="15" thickBot="1">
      <c r="K36" s="534" t="s">
        <v>345</v>
      </c>
      <c r="L36" s="534" t="s">
        <v>346</v>
      </c>
      <c r="M36" s="535" t="s">
        <v>347</v>
      </c>
      <c r="N36" s="535"/>
    </row>
    <row r="37" spans="1:14" ht="15" thickBot="1">
      <c r="D37" s="640" t="s">
        <v>348</v>
      </c>
      <c r="E37" s="641"/>
      <c r="F37" s="642" t="s">
        <v>349</v>
      </c>
      <c r="K37" s="536"/>
      <c r="L37" s="536"/>
      <c r="M37" s="536" t="s">
        <v>350</v>
      </c>
      <c r="N37" s="536"/>
    </row>
    <row r="38" spans="1:14">
      <c r="C38" s="643" t="s">
        <v>292</v>
      </c>
      <c r="D38" s="646">
        <v>12.3</v>
      </c>
      <c r="F38" s="643">
        <v>12.8</v>
      </c>
      <c r="K38" s="536"/>
      <c r="L38" s="536"/>
      <c r="M38" s="536"/>
      <c r="N38" s="536"/>
    </row>
    <row r="39" spans="1:14">
      <c r="C39" s="644" t="s">
        <v>351</v>
      </c>
      <c r="D39" s="647">
        <v>7.8E-2</v>
      </c>
      <c r="F39" s="644">
        <v>7.8E-2</v>
      </c>
    </row>
    <row r="40" spans="1:14" ht="15" thickBot="1">
      <c r="C40" s="645" t="s">
        <v>294</v>
      </c>
      <c r="D40" s="648">
        <v>0.02</v>
      </c>
      <c r="F40" s="645">
        <v>-0.02</v>
      </c>
      <c r="K40" s="2" t="s">
        <v>352</v>
      </c>
      <c r="L40" s="534" t="s">
        <v>346</v>
      </c>
      <c r="M40" s="535" t="s">
        <v>353</v>
      </c>
      <c r="N40" s="535"/>
    </row>
    <row r="41" spans="1:14" ht="15" thickBot="1">
      <c r="L41" s="536"/>
      <c r="M41" s="536">
        <v>2.5000000000000001E-2</v>
      </c>
      <c r="N41" s="536"/>
    </row>
    <row r="42" spans="1:14" ht="15" thickBot="1">
      <c r="C42" s="2" t="s">
        <v>296</v>
      </c>
      <c r="D42" s="649">
        <f>SUM(D38:D40)</f>
        <v>12.398</v>
      </c>
      <c r="F42" s="649">
        <f>SUM(F38:F40)</f>
        <v>12.858000000000001</v>
      </c>
    </row>
    <row r="43" spans="1:14" ht="15" thickBot="1">
      <c r="K43" s="2" t="s">
        <v>354</v>
      </c>
      <c r="L43" s="58" t="s">
        <v>355</v>
      </c>
      <c r="M43" s="58"/>
    </row>
    <row r="44" spans="1:14" ht="15" thickBot="1">
      <c r="C44" s="2" t="s">
        <v>356</v>
      </c>
      <c r="D44" s="650">
        <f>F42-D42</f>
        <v>0.46000000000000085</v>
      </c>
      <c r="L44" s="2" t="s">
        <v>357</v>
      </c>
    </row>
  </sheetData>
  <pageMargins left="0.7" right="0.7" top="0.75" bottom="0.75" header="0.3" footer="0.3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2</vt:i4>
      </vt:variant>
    </vt:vector>
  </HeadingPairs>
  <TitlesOfParts>
    <vt:vector size="11" baseType="lpstr">
      <vt:lpstr>Input</vt:lpstr>
      <vt:lpstr>HydroTable</vt:lpstr>
      <vt:lpstr>DSReport</vt:lpstr>
      <vt:lpstr>Deductibles</vt:lpstr>
      <vt:lpstr>Details</vt:lpstr>
      <vt:lpstr>Trimming</vt:lpstr>
      <vt:lpstr>Feuil1</vt:lpstr>
      <vt:lpstr>TrimmingTab</vt:lpstr>
      <vt:lpstr>DWA</vt:lpstr>
      <vt:lpstr>Details!Zone_d_impression</vt:lpstr>
      <vt:lpstr>DSReport!Zone_d_impression</vt:lpstr>
    </vt:vector>
  </TitlesOfParts>
  <Company>SGS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Hicham Garoum</dc:creator>
  <cp:lastModifiedBy>Hicham Garoum</cp:lastModifiedBy>
  <dcterms:created xsi:type="dcterms:W3CDTF">2022-07-20T11:14:33Z</dcterms:created>
  <dcterms:modified xsi:type="dcterms:W3CDTF">2023-08-29T11:59:27Z</dcterms:modified>
</cp:coreProperties>
</file>